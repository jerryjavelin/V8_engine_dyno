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6" windowWidth="19152" windowHeight="5520" tabRatio="746"/>
  </bookViews>
  <sheets>
    <sheet name="AMSOIL2010Engines" sheetId="1" r:id="rId1"/>
    <sheet name="T error and HP error" sheetId="5" r:id="rId2"/>
    <sheet name="Sheet2" sheetId="2" r:id="rId3"/>
    <sheet name="Sheet3" sheetId="3" r:id="rId4"/>
  </sheets>
  <calcPr calcId="145621"/>
</workbook>
</file>

<file path=xl/calcChain.xml><?xml version="1.0" encoding="utf-8"?>
<calcChain xmlns="http://schemas.openxmlformats.org/spreadsheetml/2006/main">
  <c r="AC35" i="1" l="1"/>
  <c r="AC36" i="1" s="1"/>
  <c r="AB35" i="1"/>
  <c r="AB36" i="1" s="1"/>
  <c r="AA35" i="1"/>
  <c r="AA36" i="1" s="1"/>
  <c r="Z35" i="1"/>
  <c r="Z36" i="1" s="1"/>
  <c r="Y35" i="1"/>
  <c r="Y36" i="1" s="1"/>
  <c r="X35" i="1"/>
  <c r="X36" i="1" s="1"/>
  <c r="W35" i="1"/>
  <c r="W36" i="1" s="1"/>
  <c r="V35" i="1"/>
  <c r="V36" i="1" s="1"/>
  <c r="U35" i="1"/>
  <c r="U36" i="1" s="1"/>
  <c r="T35" i="1"/>
  <c r="T36" i="1" s="1"/>
  <c r="S35" i="1"/>
  <c r="S36" i="1" s="1"/>
  <c r="R35" i="1"/>
  <c r="R36" i="1" s="1"/>
  <c r="Q35" i="1"/>
  <c r="Q36" i="1" s="1"/>
  <c r="P35" i="1"/>
  <c r="P36" i="1" s="1"/>
  <c r="O35" i="1"/>
  <c r="O36" i="1" s="1"/>
  <c r="N35" i="1"/>
  <c r="N36" i="1" s="1"/>
  <c r="M35" i="1"/>
  <c r="M36" i="1" s="1"/>
  <c r="L35" i="1"/>
  <c r="L36" i="1" s="1"/>
  <c r="K35" i="1"/>
  <c r="K36" i="1" s="1"/>
  <c r="J35" i="1"/>
  <c r="J36" i="1" s="1"/>
  <c r="I35" i="1"/>
  <c r="I36" i="1" s="1"/>
  <c r="H35" i="1"/>
  <c r="H36" i="1" s="1"/>
  <c r="G35" i="1"/>
  <c r="G36" i="1" s="1"/>
  <c r="F35" i="1"/>
  <c r="F36" i="1" s="1"/>
  <c r="E35" i="1"/>
  <c r="E36" i="1" s="1"/>
  <c r="D35" i="1"/>
  <c r="D36" i="1" s="1"/>
  <c r="K1" i="1" l="1"/>
  <c r="AC33" i="1" l="1"/>
  <c r="AC32" i="1"/>
  <c r="AC29" i="1"/>
  <c r="AC28" i="1"/>
  <c r="AC25" i="1"/>
  <c r="AC31" i="1" s="1"/>
  <c r="AC24" i="1"/>
  <c r="AC30" i="1" s="1"/>
  <c r="AB33" i="1"/>
  <c r="AB32" i="1"/>
  <c r="AB29" i="1"/>
  <c r="AB28" i="1"/>
  <c r="AB25" i="1"/>
  <c r="AB31" i="1" s="1"/>
  <c r="AB24" i="1"/>
  <c r="AB30" i="1" s="1"/>
  <c r="AA33" i="1"/>
  <c r="AA32" i="1"/>
  <c r="AA29" i="1"/>
  <c r="AA28" i="1"/>
  <c r="AA25" i="1"/>
  <c r="AA31" i="1" s="1"/>
  <c r="AA24" i="1"/>
  <c r="AA30" i="1" s="1"/>
  <c r="Z33" i="1"/>
  <c r="Z32" i="1"/>
  <c r="Z29" i="1"/>
  <c r="Z28" i="1"/>
  <c r="Z25" i="1"/>
  <c r="Z31" i="1" s="1"/>
  <c r="Z24" i="1"/>
  <c r="Z30" i="1" s="1"/>
  <c r="Y33" i="1"/>
  <c r="Y32" i="1"/>
  <c r="Y29" i="1"/>
  <c r="Y28" i="1"/>
  <c r="Y25" i="1"/>
  <c r="Y31" i="1" s="1"/>
  <c r="Y24" i="1"/>
  <c r="Y30" i="1" s="1"/>
  <c r="X33" i="1"/>
  <c r="X32" i="1"/>
  <c r="X29" i="1"/>
  <c r="X28" i="1"/>
  <c r="X25" i="1"/>
  <c r="X31" i="1" s="1"/>
  <c r="X24" i="1"/>
  <c r="X30" i="1" s="1"/>
  <c r="W33" i="1"/>
  <c r="W32" i="1"/>
  <c r="W29" i="1"/>
  <c r="W28" i="1"/>
  <c r="W25" i="1"/>
  <c r="W31" i="1" s="1"/>
  <c r="W24" i="1"/>
  <c r="W30" i="1" s="1"/>
  <c r="V33" i="1"/>
  <c r="V32" i="1"/>
  <c r="V29" i="1"/>
  <c r="V28" i="1"/>
  <c r="V25" i="1"/>
  <c r="V31" i="1" s="1"/>
  <c r="V24" i="1"/>
  <c r="V30" i="1" s="1"/>
  <c r="U33" i="1"/>
  <c r="U32" i="1"/>
  <c r="U29" i="1"/>
  <c r="U28" i="1"/>
  <c r="U25" i="1"/>
  <c r="U31" i="1" s="1"/>
  <c r="U24" i="1"/>
  <c r="U30" i="1" s="1"/>
  <c r="T33" i="1"/>
  <c r="T32" i="1"/>
  <c r="T29" i="1"/>
  <c r="T28" i="1"/>
  <c r="T25" i="1"/>
  <c r="T31" i="1" s="1"/>
  <c r="T24" i="1"/>
  <c r="T30" i="1" s="1"/>
  <c r="S33" i="1"/>
  <c r="S32" i="1"/>
  <c r="S29" i="1"/>
  <c r="S28" i="1"/>
  <c r="S25" i="1"/>
  <c r="S31" i="1" s="1"/>
  <c r="S24" i="1"/>
  <c r="S30" i="1" s="1"/>
  <c r="R33" i="1"/>
  <c r="R32" i="1"/>
  <c r="R29" i="1"/>
  <c r="R28" i="1"/>
  <c r="R25" i="1"/>
  <c r="R31" i="1" s="1"/>
  <c r="R24" i="1"/>
  <c r="R30" i="1" s="1"/>
  <c r="Q33" i="1"/>
  <c r="Q32" i="1"/>
  <c r="Q29" i="1"/>
  <c r="Q28" i="1"/>
  <c r="Q25" i="1"/>
  <c r="Q31" i="1" s="1"/>
  <c r="Q24" i="1"/>
  <c r="Q30" i="1" s="1"/>
  <c r="P33" i="1"/>
  <c r="P32" i="1"/>
  <c r="P29" i="1"/>
  <c r="P28" i="1"/>
  <c r="P25" i="1"/>
  <c r="P31" i="1" s="1"/>
  <c r="P24" i="1"/>
  <c r="P30" i="1" s="1"/>
  <c r="O33" i="1"/>
  <c r="O32" i="1"/>
  <c r="O29" i="1"/>
  <c r="O28" i="1"/>
  <c r="O25" i="1"/>
  <c r="O31" i="1" s="1"/>
  <c r="O24" i="1"/>
  <c r="O30" i="1" s="1"/>
  <c r="N33" i="1"/>
  <c r="N32" i="1"/>
  <c r="N29" i="1"/>
  <c r="N28" i="1"/>
  <c r="N25" i="1"/>
  <c r="N31" i="1" s="1"/>
  <c r="N24" i="1"/>
  <c r="N30" i="1" s="1"/>
  <c r="M33" i="1"/>
  <c r="M32" i="1"/>
  <c r="M29" i="1"/>
  <c r="M28" i="1"/>
  <c r="M25" i="1"/>
  <c r="M31" i="1" s="1"/>
  <c r="M24" i="1"/>
  <c r="M30" i="1" s="1"/>
  <c r="L33" i="1"/>
  <c r="L32" i="1"/>
  <c r="L29" i="1"/>
  <c r="L28" i="1"/>
  <c r="L25" i="1"/>
  <c r="L31" i="1" s="1"/>
  <c r="L24" i="1"/>
  <c r="L30" i="1" s="1"/>
  <c r="K33" i="1"/>
  <c r="K32" i="1"/>
  <c r="K29" i="1"/>
  <c r="K28" i="1"/>
  <c r="K25" i="1"/>
  <c r="K31" i="1" s="1"/>
  <c r="K24" i="1"/>
  <c r="K30" i="1" s="1"/>
  <c r="J33" i="1"/>
  <c r="J32" i="1"/>
  <c r="J29" i="1"/>
  <c r="J28" i="1"/>
  <c r="J25" i="1"/>
  <c r="J31" i="1" s="1"/>
  <c r="J24" i="1"/>
  <c r="J30" i="1" s="1"/>
  <c r="I33" i="1"/>
  <c r="I32" i="1"/>
  <c r="I29" i="1"/>
  <c r="I28" i="1"/>
  <c r="I25" i="1"/>
  <c r="I31" i="1" s="1"/>
  <c r="I24" i="1"/>
  <c r="I30" i="1" s="1"/>
  <c r="H33" i="1"/>
  <c r="H32" i="1"/>
  <c r="H29" i="1"/>
  <c r="H28" i="1"/>
  <c r="H25" i="1"/>
  <c r="H31" i="1" s="1"/>
  <c r="H24" i="1"/>
  <c r="H30" i="1" s="1"/>
  <c r="G33" i="1"/>
  <c r="F33" i="1"/>
  <c r="E33" i="1"/>
  <c r="G32" i="1"/>
  <c r="F32" i="1"/>
  <c r="E32" i="1"/>
  <c r="D33" i="1"/>
  <c r="D32" i="1"/>
  <c r="G25" i="1"/>
  <c r="G31" i="1" s="1"/>
  <c r="F25" i="1"/>
  <c r="F31" i="1" s="1"/>
  <c r="E25" i="1"/>
  <c r="E31" i="1" s="1"/>
  <c r="G24" i="1"/>
  <c r="G30" i="1" s="1"/>
  <c r="F24" i="1"/>
  <c r="F30" i="1" s="1"/>
  <c r="E24" i="1"/>
  <c r="E30" i="1" s="1"/>
  <c r="D25" i="1"/>
  <c r="D31" i="1" s="1"/>
  <c r="D24" i="1"/>
  <c r="D30" i="1" s="1"/>
  <c r="G29" i="1" l="1"/>
  <c r="G28" i="1"/>
  <c r="F29" i="1"/>
  <c r="F28" i="1"/>
  <c r="E29" i="1"/>
  <c r="E28" i="1"/>
  <c r="D29" i="1"/>
  <c r="D28" i="1"/>
  <c r="F1" i="1" l="1"/>
  <c r="G1" i="1" s="1"/>
  <c r="H1" i="1" s="1"/>
  <c r="I1" i="1" s="1"/>
  <c r="J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X1" i="1" s="1"/>
  <c r="CY1" i="1" s="1"/>
  <c r="CZ1" i="1" s="1"/>
  <c r="DA1" i="1" s="1"/>
  <c r="DB1" i="1" s="1"/>
  <c r="DC1" i="1" s="1"/>
  <c r="DD1" i="1" s="1"/>
  <c r="DE1" i="1" s="1"/>
  <c r="DF1" i="1" s="1"/>
  <c r="DG1" i="1" s="1"/>
  <c r="DH1" i="1" s="1"/>
  <c r="DI1" i="1" s="1"/>
  <c r="DJ1" i="1" s="1"/>
  <c r="DK1" i="1" s="1"/>
  <c r="DL1" i="1" s="1"/>
  <c r="DM1" i="1" s="1"/>
  <c r="DN1" i="1" s="1"/>
  <c r="DO1" i="1" s="1"/>
  <c r="DP1" i="1" s="1"/>
  <c r="DQ1" i="1" s="1"/>
  <c r="DR1" i="1" s="1"/>
  <c r="DS1" i="1" s="1"/>
  <c r="DT1" i="1" s="1"/>
  <c r="DU1" i="1" s="1"/>
  <c r="DV1" i="1" s="1"/>
  <c r="DW1" i="1" s="1"/>
  <c r="DX1" i="1" s="1"/>
  <c r="DY1" i="1" s="1"/>
  <c r="DZ1" i="1" s="1"/>
  <c r="E1" i="1"/>
</calcChain>
</file>

<file path=xl/sharedStrings.xml><?xml version="1.0" encoding="utf-8"?>
<sst xmlns="http://schemas.openxmlformats.org/spreadsheetml/2006/main" count="79" uniqueCount="62">
  <si>
    <t>Engine</t>
  </si>
  <si>
    <t>Bore</t>
  </si>
  <si>
    <t>Stroke</t>
  </si>
  <si>
    <t>Cam Duration</t>
  </si>
  <si>
    <t>Valve Lift</t>
  </si>
  <si>
    <t>Valve Diameter</t>
  </si>
  <si>
    <t>Compression</t>
  </si>
  <si>
    <t xml:space="preserve">CI </t>
  </si>
  <si>
    <t>Lower RPM Limit</t>
  </si>
  <si>
    <t>RPM for Max HP</t>
  </si>
  <si>
    <t>RPM for Max Torque</t>
  </si>
  <si>
    <t>Average HP per CI</t>
  </si>
  <si>
    <t>Maximum HP per CI</t>
  </si>
  <si>
    <t>Average Torque per CI</t>
  </si>
  <si>
    <t>Maximum Torque per CI</t>
  </si>
  <si>
    <t>Average HP</t>
  </si>
  <si>
    <t>Maximum HP</t>
  </si>
  <si>
    <t>Average Torque</t>
  </si>
  <si>
    <t>Maximum Torque</t>
  </si>
  <si>
    <t>pper RPM Limit</t>
  </si>
  <si>
    <t>Chrysler Hemi Gen 3</t>
  </si>
  <si>
    <t>SMC JL Reliable</t>
  </si>
  <si>
    <t>Actual Max T</t>
  </si>
  <si>
    <t>Actual Max HP</t>
  </si>
  <si>
    <t>% error Max T</t>
  </si>
  <si>
    <t>% error Max HP</t>
  </si>
  <si>
    <t>SBF MPG Heads</t>
  </si>
  <si>
    <t>BBC Jon Kasse</t>
  </si>
  <si>
    <t>Actual Max T/ CI</t>
  </si>
  <si>
    <t>Actual Max HP/CI</t>
  </si>
  <si>
    <t>Actual RPM Max T</t>
  </si>
  <si>
    <t>Actaul RPM Max HP</t>
  </si>
  <si>
    <t>% error Max T/CI</t>
  </si>
  <si>
    <t>% error Max HP/CI</t>
  </si>
  <si>
    <t>% Error RPM Max T</t>
  </si>
  <si>
    <t>% Error RPM Max HP</t>
  </si>
  <si>
    <t>GM LS Racing Engine Design</t>
  </si>
  <si>
    <t>SBC Power Shop RaCING</t>
  </si>
  <si>
    <t>Foed FE Survival Motosports</t>
  </si>
  <si>
    <t>SBC Tuned Port Ind Specialties</t>
  </si>
  <si>
    <t>SBF Tim Zepp</t>
  </si>
  <si>
    <t>BBC Performance Crankshaft</t>
  </si>
  <si>
    <t>SBF HKS</t>
  </si>
  <si>
    <t>BBC Hinkle Performance</t>
  </si>
  <si>
    <t>Chrysler LA Series SKMFX</t>
  </si>
  <si>
    <t>Ford Y Block</t>
  </si>
  <si>
    <t>Ford Boss 429 TM Enterprises</t>
  </si>
  <si>
    <t>GM LS D&amp;A Machine Shop</t>
  </si>
  <si>
    <t>Chrysler LA Clark Hinkle</t>
  </si>
  <si>
    <t>Chrysler Hemi 3rd Gen K.T.C.</t>
  </si>
  <si>
    <t>BBC Weingartner Racing</t>
  </si>
  <si>
    <t>Buick Automotive Performance and Machine</t>
  </si>
  <si>
    <t>Ford Boss 429</t>
  </si>
  <si>
    <t>SBC Traco Engineering</t>
  </si>
  <si>
    <t>SBC Pro Comp Motorsports</t>
  </si>
  <si>
    <t>Ford FE Dove MFG.</t>
  </si>
  <si>
    <t>SBC Paul Milano's Service</t>
  </si>
  <si>
    <t>SBC Coates Motorspots</t>
  </si>
  <si>
    <t>AMSOIL Ratings</t>
  </si>
  <si>
    <t>Modeled rating</t>
  </si>
  <si>
    <t>Measured AMSOIL Ratings</t>
  </si>
  <si>
    <t>% error (Measured from Modelled)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</si>
</sst>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 applyAlignment="1">
      <alignment wrapText="1"/>
    </xf>
    <xf numFmtId="0" fontId="0" fillId="2" borderId="0" xfId="0" applyFill="1"/>
    <xf numFmtId="0" fontId="0" fillId="0" borderId="0" xfId="0" applyAlignment="1">
      <alignment wrapText="1"/>
    </xf>
    <xf numFmtId="0" fontId="0" fillId="0" borderId="0" xfId="0" applyFill="1" applyAlignment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Performing Engines Closely Fit Models - Thus Low  Max Torque and Max HP Errors 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Max Torque % Error</c:v>
          </c:tx>
          <c:xVal>
            <c:numRef>
              <c:f>Sheet2!$G$15:$G$40</c:f>
              <c:numCache>
                <c:formatCode>General</c:formatCode>
                <c:ptCount val="26"/>
                <c:pt idx="0">
                  <c:v>2512.5</c:v>
                </c:pt>
                <c:pt idx="1">
                  <c:v>2492.3000000000002</c:v>
                </c:pt>
                <c:pt idx="2">
                  <c:v>2442.5</c:v>
                </c:pt>
                <c:pt idx="3">
                  <c:v>2394.9</c:v>
                </c:pt>
                <c:pt idx="4">
                  <c:v>2335.6</c:v>
                </c:pt>
                <c:pt idx="5">
                  <c:v>2314</c:v>
                </c:pt>
                <c:pt idx="6">
                  <c:v>2311.1</c:v>
                </c:pt>
                <c:pt idx="7">
                  <c:v>2296.1999999999998</c:v>
                </c:pt>
                <c:pt idx="8">
                  <c:v>2281.1</c:v>
                </c:pt>
                <c:pt idx="9">
                  <c:v>2260</c:v>
                </c:pt>
                <c:pt idx="10">
                  <c:v>2232.6999999999998</c:v>
                </c:pt>
                <c:pt idx="11">
                  <c:v>2216</c:v>
                </c:pt>
                <c:pt idx="12">
                  <c:v>2215.5</c:v>
                </c:pt>
                <c:pt idx="13">
                  <c:v>2205.6999999999998</c:v>
                </c:pt>
                <c:pt idx="14">
                  <c:v>2194.6</c:v>
                </c:pt>
                <c:pt idx="15">
                  <c:v>2190.1</c:v>
                </c:pt>
                <c:pt idx="16">
                  <c:v>2189.1</c:v>
                </c:pt>
                <c:pt idx="17">
                  <c:v>2179.5</c:v>
                </c:pt>
                <c:pt idx="18">
                  <c:v>2174.1999999999998</c:v>
                </c:pt>
                <c:pt idx="19">
                  <c:v>2138.1</c:v>
                </c:pt>
                <c:pt idx="20">
                  <c:v>2111.1</c:v>
                </c:pt>
                <c:pt idx="21">
                  <c:v>2110.8000000000002</c:v>
                </c:pt>
                <c:pt idx="22">
                  <c:v>2027.3</c:v>
                </c:pt>
                <c:pt idx="23">
                  <c:v>1796.9</c:v>
                </c:pt>
                <c:pt idx="24">
                  <c:v>1666.1</c:v>
                </c:pt>
                <c:pt idx="25">
                  <c:v>1506.1</c:v>
                </c:pt>
              </c:numCache>
            </c:numRef>
          </c:xVal>
          <c:yVal>
            <c:numRef>
              <c:f>Sheet2!$H$15:$H$40</c:f>
              <c:numCache>
                <c:formatCode>General</c:formatCode>
                <c:ptCount val="26"/>
                <c:pt idx="0">
                  <c:v>7.3428543979858567</c:v>
                </c:pt>
                <c:pt idx="1">
                  <c:v>6.8581066184170609</c:v>
                </c:pt>
                <c:pt idx="2">
                  <c:v>5.0315780180081395</c:v>
                </c:pt>
                <c:pt idx="3">
                  <c:v>5.6082534482644189</c:v>
                </c:pt>
                <c:pt idx="4">
                  <c:v>3.2805512948279061</c:v>
                </c:pt>
                <c:pt idx="5">
                  <c:v>1.5219754724749628</c:v>
                </c:pt>
                <c:pt idx="6">
                  <c:v>2.5255005975848466</c:v>
                </c:pt>
                <c:pt idx="7">
                  <c:v>2.8092926256238191</c:v>
                </c:pt>
                <c:pt idx="8">
                  <c:v>4.4601483440024756</c:v>
                </c:pt>
                <c:pt idx="9">
                  <c:v>0.14830540385590593</c:v>
                </c:pt>
                <c:pt idx="10">
                  <c:v>0.9364680472056417</c:v>
                </c:pt>
                <c:pt idx="11">
                  <c:v>-4.5104482860486312</c:v>
                </c:pt>
                <c:pt idx="12">
                  <c:v>-5.2195251751803724</c:v>
                </c:pt>
                <c:pt idx="13">
                  <c:v>-5.1022770408010452</c:v>
                </c:pt>
                <c:pt idx="14">
                  <c:v>-1.318779948930648</c:v>
                </c:pt>
                <c:pt idx="15">
                  <c:v>-4.526796959252481</c:v>
                </c:pt>
                <c:pt idx="16">
                  <c:v>-3.5318436022722777</c:v>
                </c:pt>
                <c:pt idx="17">
                  <c:v>1.7782938318080181</c:v>
                </c:pt>
                <c:pt idx="18">
                  <c:v>-5.5702496114079967</c:v>
                </c:pt>
                <c:pt idx="19">
                  <c:v>-6.2058168661625164</c:v>
                </c:pt>
                <c:pt idx="20">
                  <c:v>-2.4208941540939137</c:v>
                </c:pt>
                <c:pt idx="21">
                  <c:v>-5.2261681060232394</c:v>
                </c:pt>
                <c:pt idx="22">
                  <c:v>-14.997886638512847</c:v>
                </c:pt>
                <c:pt idx="23">
                  <c:v>-35.986271310180854</c:v>
                </c:pt>
                <c:pt idx="24">
                  <c:v>-17.229804106163481</c:v>
                </c:pt>
                <c:pt idx="25">
                  <c:v>-36.180400430303898</c:v>
                </c:pt>
              </c:numCache>
            </c:numRef>
          </c:yVal>
          <c:smooth val="1"/>
        </c:ser>
        <c:ser>
          <c:idx val="1"/>
          <c:order val="1"/>
          <c:tx>
            <c:v>Max HP % Error</c:v>
          </c:tx>
          <c:xVal>
            <c:numRef>
              <c:f>Sheet2!$G$15:$G$40</c:f>
              <c:numCache>
                <c:formatCode>General</c:formatCode>
                <c:ptCount val="26"/>
                <c:pt idx="0">
                  <c:v>2512.5</c:v>
                </c:pt>
                <c:pt idx="1">
                  <c:v>2492.3000000000002</c:v>
                </c:pt>
                <c:pt idx="2">
                  <c:v>2442.5</c:v>
                </c:pt>
                <c:pt idx="3">
                  <c:v>2394.9</c:v>
                </c:pt>
                <c:pt idx="4">
                  <c:v>2335.6</c:v>
                </c:pt>
                <c:pt idx="5">
                  <c:v>2314</c:v>
                </c:pt>
                <c:pt idx="6">
                  <c:v>2311.1</c:v>
                </c:pt>
                <c:pt idx="7">
                  <c:v>2296.1999999999998</c:v>
                </c:pt>
                <c:pt idx="8">
                  <c:v>2281.1</c:v>
                </c:pt>
                <c:pt idx="9">
                  <c:v>2260</c:v>
                </c:pt>
                <c:pt idx="10">
                  <c:v>2232.6999999999998</c:v>
                </c:pt>
                <c:pt idx="11">
                  <c:v>2216</c:v>
                </c:pt>
                <c:pt idx="12">
                  <c:v>2215.5</c:v>
                </c:pt>
                <c:pt idx="13">
                  <c:v>2205.6999999999998</c:v>
                </c:pt>
                <c:pt idx="14">
                  <c:v>2194.6</c:v>
                </c:pt>
                <c:pt idx="15">
                  <c:v>2190.1</c:v>
                </c:pt>
                <c:pt idx="16">
                  <c:v>2189.1</c:v>
                </c:pt>
                <c:pt idx="17">
                  <c:v>2179.5</c:v>
                </c:pt>
                <c:pt idx="18">
                  <c:v>2174.1999999999998</c:v>
                </c:pt>
                <c:pt idx="19">
                  <c:v>2138.1</c:v>
                </c:pt>
                <c:pt idx="20">
                  <c:v>2111.1</c:v>
                </c:pt>
                <c:pt idx="21">
                  <c:v>2110.8000000000002</c:v>
                </c:pt>
                <c:pt idx="22">
                  <c:v>2027.3</c:v>
                </c:pt>
                <c:pt idx="23">
                  <c:v>1796.9</c:v>
                </c:pt>
                <c:pt idx="24">
                  <c:v>1666.1</c:v>
                </c:pt>
                <c:pt idx="25">
                  <c:v>1506.1</c:v>
                </c:pt>
              </c:numCache>
            </c:numRef>
          </c:xVal>
          <c:yVal>
            <c:numRef>
              <c:f>Sheet2!$I$15:$I$40</c:f>
              <c:numCache>
                <c:formatCode>General</c:formatCode>
                <c:ptCount val="26"/>
                <c:pt idx="0">
                  <c:v>12.039676504243467</c:v>
                </c:pt>
                <c:pt idx="1">
                  <c:v>3.4476613868961725</c:v>
                </c:pt>
                <c:pt idx="2">
                  <c:v>3.1245130966412265</c:v>
                </c:pt>
                <c:pt idx="3">
                  <c:v>7.3780750563952697</c:v>
                </c:pt>
                <c:pt idx="4">
                  <c:v>2.4987522166247023</c:v>
                </c:pt>
                <c:pt idx="5">
                  <c:v>6.4892512350094922</c:v>
                </c:pt>
                <c:pt idx="6">
                  <c:v>-9.9930427022905458E-2</c:v>
                </c:pt>
                <c:pt idx="7">
                  <c:v>-0.45249626418032768</c:v>
                </c:pt>
                <c:pt idx="8">
                  <c:v>13.047988741218655</c:v>
                </c:pt>
                <c:pt idx="9">
                  <c:v>0.7761232085795845</c:v>
                </c:pt>
                <c:pt idx="10">
                  <c:v>-3.1434049884956003</c:v>
                </c:pt>
                <c:pt idx="11">
                  <c:v>-3.3603974450483123</c:v>
                </c:pt>
                <c:pt idx="12">
                  <c:v>-6.1964409929642024</c:v>
                </c:pt>
                <c:pt idx="13">
                  <c:v>-6.1079659798197863</c:v>
                </c:pt>
                <c:pt idx="14">
                  <c:v>-3.2716965318995839</c:v>
                </c:pt>
                <c:pt idx="15">
                  <c:v>-8.7625581119104563</c:v>
                </c:pt>
                <c:pt idx="16">
                  <c:v>-2.6910628841650532</c:v>
                </c:pt>
                <c:pt idx="17">
                  <c:v>-4.6550373175881115</c:v>
                </c:pt>
                <c:pt idx="18">
                  <c:v>-9.8148796210088136</c:v>
                </c:pt>
                <c:pt idx="19">
                  <c:v>-6.6034030434719542</c:v>
                </c:pt>
                <c:pt idx="20">
                  <c:v>-12.479395293890482</c:v>
                </c:pt>
                <c:pt idx="21">
                  <c:v>-8.7310574897669557</c:v>
                </c:pt>
                <c:pt idx="22">
                  <c:v>-22.555905078577503</c:v>
                </c:pt>
                <c:pt idx="23">
                  <c:v>-30.365419379285129</c:v>
                </c:pt>
                <c:pt idx="24">
                  <c:v>-48.575415177966683</c:v>
                </c:pt>
                <c:pt idx="25">
                  <c:v>-47.249494742658214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061184"/>
        <c:axId val="276522112"/>
      </c:scatterChart>
      <c:valAx>
        <c:axId val="276061184"/>
        <c:scaling>
          <c:orientation val="maxMin"/>
          <c:max val="2600"/>
          <c:min val="1500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AMSOIL</a:t>
                </a:r>
                <a:r>
                  <a:rPr lang="en-US" sz="1800" baseline="0"/>
                  <a:t>  Engine  Contest Rating</a:t>
                </a:r>
                <a:endParaRPr lang="en-US" sz="18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76522112"/>
        <c:crosses val="autoZero"/>
        <c:crossBetween val="midCat"/>
      </c:valAx>
      <c:valAx>
        <c:axId val="276522112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%</a:t>
                </a:r>
                <a:r>
                  <a:rPr lang="en-US" sz="1800" baseline="0"/>
                  <a:t> Error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0.78248408263894675"/>
              <c:y val="0.2994185408038441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7606118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182880</xdr:rowOff>
        </xdr:from>
        <xdr:to>
          <xdr:col>1</xdr:col>
          <xdr:colOff>449580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810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DZ43"/>
  <sheetViews>
    <sheetView tabSelected="1" zoomScale="60" zoomScaleNormal="60" workbookViewId="0">
      <selection activeCell="AH29" sqref="AH29"/>
    </sheetView>
  </sheetViews>
  <sheetFormatPr defaultRowHeight="14.4" x14ac:dyDescent="0.3"/>
  <cols>
    <col min="3" max="3" width="20.44140625" customWidth="1"/>
    <col min="6" max="6" width="17.109375" customWidth="1"/>
    <col min="7" max="7" width="17" customWidth="1"/>
    <col min="8" max="8" width="15.33203125" customWidth="1"/>
    <col min="9" max="9" width="12.33203125" customWidth="1"/>
    <col min="11" max="14" width="9.109375" style="6"/>
  </cols>
  <sheetData>
    <row r="1" spans="3:130" ht="15" x14ac:dyDescent="0.25">
      <c r="D1" s="2">
        <v>1</v>
      </c>
      <c r="E1" s="2">
        <f>D1+1</f>
        <v>2</v>
      </c>
      <c r="F1" s="2">
        <f t="shared" ref="F1:BQ1" si="0">E1+1</f>
        <v>3</v>
      </c>
      <c r="G1" s="2">
        <f t="shared" si="0"/>
        <v>4</v>
      </c>
      <c r="H1" s="2">
        <f t="shared" si="0"/>
        <v>5</v>
      </c>
      <c r="I1" s="2">
        <f t="shared" si="0"/>
        <v>6</v>
      </c>
      <c r="J1" s="2">
        <f t="shared" si="0"/>
        <v>7</v>
      </c>
      <c r="K1" s="2">
        <f t="shared" si="0"/>
        <v>8</v>
      </c>
      <c r="L1" s="2">
        <f t="shared" si="0"/>
        <v>9</v>
      </c>
      <c r="M1" s="2">
        <f t="shared" si="0"/>
        <v>10</v>
      </c>
      <c r="N1" s="2">
        <f t="shared" si="0"/>
        <v>11</v>
      </c>
      <c r="O1" s="2">
        <f t="shared" si="0"/>
        <v>12</v>
      </c>
      <c r="P1" s="2">
        <f t="shared" si="0"/>
        <v>13</v>
      </c>
      <c r="Q1" s="2">
        <f t="shared" si="0"/>
        <v>14</v>
      </c>
      <c r="R1" s="2">
        <f t="shared" si="0"/>
        <v>15</v>
      </c>
      <c r="S1" s="2">
        <f t="shared" si="0"/>
        <v>16</v>
      </c>
      <c r="T1" s="2">
        <f t="shared" si="0"/>
        <v>17</v>
      </c>
      <c r="U1" s="2">
        <f t="shared" si="0"/>
        <v>18</v>
      </c>
      <c r="V1" s="2">
        <f t="shared" si="0"/>
        <v>19</v>
      </c>
      <c r="W1" s="2">
        <f t="shared" si="0"/>
        <v>20</v>
      </c>
      <c r="X1" s="2">
        <f t="shared" si="0"/>
        <v>21</v>
      </c>
      <c r="Y1" s="2">
        <f t="shared" si="0"/>
        <v>22</v>
      </c>
      <c r="Z1" s="2">
        <f t="shared" si="0"/>
        <v>23</v>
      </c>
      <c r="AA1" s="2">
        <f t="shared" si="0"/>
        <v>24</v>
      </c>
      <c r="AB1" s="2">
        <f t="shared" si="0"/>
        <v>25</v>
      </c>
      <c r="AC1" s="2">
        <f t="shared" si="0"/>
        <v>26</v>
      </c>
      <c r="AD1" s="2">
        <f t="shared" si="0"/>
        <v>27</v>
      </c>
      <c r="AE1" s="2">
        <f t="shared" si="0"/>
        <v>28</v>
      </c>
      <c r="AF1" s="2">
        <f t="shared" si="0"/>
        <v>29</v>
      </c>
      <c r="AG1" s="2">
        <f t="shared" si="0"/>
        <v>30</v>
      </c>
      <c r="AH1" s="2">
        <f t="shared" si="0"/>
        <v>31</v>
      </c>
      <c r="AI1" s="2">
        <f t="shared" si="0"/>
        <v>32</v>
      </c>
      <c r="AJ1" s="2">
        <f t="shared" si="0"/>
        <v>33</v>
      </c>
      <c r="AK1" s="2">
        <f t="shared" si="0"/>
        <v>34</v>
      </c>
      <c r="AL1" s="2">
        <f t="shared" si="0"/>
        <v>35</v>
      </c>
      <c r="AM1" s="2">
        <f t="shared" si="0"/>
        <v>36</v>
      </c>
      <c r="AN1" s="2">
        <f t="shared" si="0"/>
        <v>37</v>
      </c>
      <c r="AO1" s="2">
        <f t="shared" si="0"/>
        <v>38</v>
      </c>
      <c r="AP1" s="2">
        <f t="shared" si="0"/>
        <v>39</v>
      </c>
      <c r="AQ1" s="2">
        <f t="shared" si="0"/>
        <v>40</v>
      </c>
      <c r="AR1" s="2">
        <f t="shared" si="0"/>
        <v>41</v>
      </c>
      <c r="AS1" s="2">
        <f t="shared" si="0"/>
        <v>42</v>
      </c>
      <c r="AT1" s="2">
        <f t="shared" si="0"/>
        <v>43</v>
      </c>
      <c r="AU1" s="2">
        <f t="shared" si="0"/>
        <v>44</v>
      </c>
      <c r="AV1" s="2">
        <f t="shared" si="0"/>
        <v>45</v>
      </c>
      <c r="AW1" s="2">
        <f t="shared" si="0"/>
        <v>46</v>
      </c>
      <c r="AX1" s="2">
        <f t="shared" si="0"/>
        <v>47</v>
      </c>
      <c r="AY1" s="2">
        <f t="shared" si="0"/>
        <v>48</v>
      </c>
      <c r="AZ1" s="2">
        <f t="shared" si="0"/>
        <v>49</v>
      </c>
      <c r="BA1" s="2">
        <f t="shared" si="0"/>
        <v>50</v>
      </c>
      <c r="BB1" s="2">
        <f t="shared" si="0"/>
        <v>51</v>
      </c>
      <c r="BC1" s="2">
        <f t="shared" si="0"/>
        <v>52</v>
      </c>
      <c r="BD1" s="2">
        <f t="shared" si="0"/>
        <v>53</v>
      </c>
      <c r="BE1" s="2">
        <f t="shared" si="0"/>
        <v>54</v>
      </c>
      <c r="BF1" s="2">
        <f t="shared" si="0"/>
        <v>55</v>
      </c>
      <c r="BG1" s="2">
        <f t="shared" si="0"/>
        <v>56</v>
      </c>
      <c r="BH1" s="2">
        <f t="shared" si="0"/>
        <v>57</v>
      </c>
      <c r="BI1" s="2">
        <f t="shared" si="0"/>
        <v>58</v>
      </c>
      <c r="BJ1" s="2">
        <f t="shared" si="0"/>
        <v>59</v>
      </c>
      <c r="BK1" s="2">
        <f t="shared" si="0"/>
        <v>60</v>
      </c>
      <c r="BL1" s="2">
        <f t="shared" si="0"/>
        <v>61</v>
      </c>
      <c r="BM1" s="2">
        <f t="shared" si="0"/>
        <v>62</v>
      </c>
      <c r="BN1" s="2">
        <f t="shared" si="0"/>
        <v>63</v>
      </c>
      <c r="BO1" s="2">
        <f t="shared" si="0"/>
        <v>64</v>
      </c>
      <c r="BP1" s="2">
        <f t="shared" si="0"/>
        <v>65</v>
      </c>
      <c r="BQ1" s="2">
        <f t="shared" si="0"/>
        <v>66</v>
      </c>
      <c r="BR1" s="2">
        <f t="shared" ref="BR1:DZ1" si="1">BQ1+1</f>
        <v>67</v>
      </c>
      <c r="BS1" s="2">
        <f t="shared" si="1"/>
        <v>68</v>
      </c>
      <c r="BT1" s="2">
        <f t="shared" si="1"/>
        <v>69</v>
      </c>
      <c r="BU1" s="2">
        <f t="shared" si="1"/>
        <v>70</v>
      </c>
      <c r="BV1" s="2">
        <f t="shared" si="1"/>
        <v>71</v>
      </c>
      <c r="BW1" s="2">
        <f t="shared" si="1"/>
        <v>72</v>
      </c>
      <c r="BX1" s="2">
        <f t="shared" si="1"/>
        <v>73</v>
      </c>
      <c r="BY1" s="2">
        <f t="shared" si="1"/>
        <v>74</v>
      </c>
      <c r="BZ1" s="2">
        <f t="shared" si="1"/>
        <v>75</v>
      </c>
      <c r="CA1" s="2">
        <f t="shared" si="1"/>
        <v>76</v>
      </c>
      <c r="CB1" s="2">
        <f t="shared" si="1"/>
        <v>77</v>
      </c>
      <c r="CC1" s="2">
        <f t="shared" si="1"/>
        <v>78</v>
      </c>
      <c r="CD1" s="2">
        <f t="shared" si="1"/>
        <v>79</v>
      </c>
      <c r="CE1" s="2">
        <f t="shared" si="1"/>
        <v>80</v>
      </c>
      <c r="CF1" s="2">
        <f t="shared" si="1"/>
        <v>81</v>
      </c>
      <c r="CG1" s="2">
        <f t="shared" si="1"/>
        <v>82</v>
      </c>
      <c r="CH1" s="2">
        <f t="shared" si="1"/>
        <v>83</v>
      </c>
      <c r="CI1" s="2">
        <f t="shared" si="1"/>
        <v>84</v>
      </c>
      <c r="CJ1" s="2">
        <f t="shared" si="1"/>
        <v>85</v>
      </c>
      <c r="CK1" s="2">
        <f t="shared" si="1"/>
        <v>86</v>
      </c>
      <c r="CL1" s="2">
        <f t="shared" si="1"/>
        <v>87</v>
      </c>
      <c r="CM1" s="2">
        <f t="shared" si="1"/>
        <v>88</v>
      </c>
      <c r="CN1" s="2">
        <f t="shared" si="1"/>
        <v>89</v>
      </c>
      <c r="CO1" s="2">
        <f t="shared" si="1"/>
        <v>90</v>
      </c>
      <c r="CP1" s="2">
        <f t="shared" si="1"/>
        <v>91</v>
      </c>
      <c r="CQ1" s="2">
        <f t="shared" si="1"/>
        <v>92</v>
      </c>
      <c r="CR1" s="2">
        <f t="shared" si="1"/>
        <v>93</v>
      </c>
      <c r="CS1" s="2">
        <f t="shared" si="1"/>
        <v>94</v>
      </c>
      <c r="CT1" s="2">
        <f t="shared" si="1"/>
        <v>95</v>
      </c>
      <c r="CU1" s="2">
        <f t="shared" si="1"/>
        <v>96</v>
      </c>
      <c r="CV1" s="2">
        <f t="shared" si="1"/>
        <v>97</v>
      </c>
      <c r="CW1" s="2">
        <f t="shared" si="1"/>
        <v>98</v>
      </c>
      <c r="CX1" s="2">
        <f t="shared" si="1"/>
        <v>99</v>
      </c>
      <c r="CY1" s="2">
        <f t="shared" si="1"/>
        <v>100</v>
      </c>
      <c r="CZ1" s="2">
        <f t="shared" si="1"/>
        <v>101</v>
      </c>
      <c r="DA1" s="2">
        <f t="shared" si="1"/>
        <v>102</v>
      </c>
      <c r="DB1" s="2">
        <f t="shared" si="1"/>
        <v>103</v>
      </c>
      <c r="DC1" s="2">
        <f t="shared" si="1"/>
        <v>104</v>
      </c>
      <c r="DD1" s="2">
        <f t="shared" si="1"/>
        <v>105</v>
      </c>
      <c r="DE1" s="2">
        <f t="shared" si="1"/>
        <v>106</v>
      </c>
      <c r="DF1" s="2">
        <f t="shared" si="1"/>
        <v>107</v>
      </c>
      <c r="DG1" s="2">
        <f t="shared" si="1"/>
        <v>108</v>
      </c>
      <c r="DH1" s="2">
        <f t="shared" si="1"/>
        <v>109</v>
      </c>
      <c r="DI1" s="2">
        <f t="shared" si="1"/>
        <v>110</v>
      </c>
      <c r="DJ1" s="2">
        <f t="shared" si="1"/>
        <v>111</v>
      </c>
      <c r="DK1" s="2">
        <f t="shared" si="1"/>
        <v>112</v>
      </c>
      <c r="DL1" s="2">
        <f t="shared" si="1"/>
        <v>113</v>
      </c>
      <c r="DM1" s="2">
        <f t="shared" si="1"/>
        <v>114</v>
      </c>
      <c r="DN1" s="2">
        <f t="shared" si="1"/>
        <v>115</v>
      </c>
      <c r="DO1" s="2">
        <f t="shared" si="1"/>
        <v>116</v>
      </c>
      <c r="DP1" s="2">
        <f t="shared" si="1"/>
        <v>117</v>
      </c>
      <c r="DQ1" s="2">
        <f t="shared" si="1"/>
        <v>118</v>
      </c>
      <c r="DR1" s="2">
        <f t="shared" si="1"/>
        <v>119</v>
      </c>
      <c r="DS1" s="2">
        <f t="shared" si="1"/>
        <v>120</v>
      </c>
      <c r="DT1" s="2">
        <f t="shared" si="1"/>
        <v>121</v>
      </c>
      <c r="DU1" s="2">
        <f t="shared" si="1"/>
        <v>122</v>
      </c>
      <c r="DV1" s="2">
        <f t="shared" si="1"/>
        <v>123</v>
      </c>
      <c r="DW1" s="2">
        <f t="shared" si="1"/>
        <v>124</v>
      </c>
      <c r="DX1" s="2">
        <f t="shared" si="1"/>
        <v>125</v>
      </c>
      <c r="DY1" s="2">
        <f t="shared" si="1"/>
        <v>126</v>
      </c>
      <c r="DZ1" s="2">
        <f t="shared" si="1"/>
        <v>127</v>
      </c>
    </row>
    <row r="2" spans="3:130" s="3" customFormat="1" ht="90" x14ac:dyDescent="0.25">
      <c r="C2" s="3" t="s">
        <v>0</v>
      </c>
      <c r="D2" s="3" t="s">
        <v>20</v>
      </c>
      <c r="E2" s="3" t="s">
        <v>21</v>
      </c>
      <c r="F2" s="3" t="s">
        <v>26</v>
      </c>
      <c r="G2" s="3" t="s">
        <v>27</v>
      </c>
      <c r="H2" s="3" t="s">
        <v>36</v>
      </c>
      <c r="I2" s="3" t="s">
        <v>39</v>
      </c>
      <c r="J2" s="3" t="s">
        <v>37</v>
      </c>
      <c r="K2" s="1" t="s">
        <v>38</v>
      </c>
      <c r="L2" s="1" t="s">
        <v>40</v>
      </c>
      <c r="M2" s="1" t="s">
        <v>41</v>
      </c>
      <c r="N2" s="1" t="s">
        <v>42</v>
      </c>
      <c r="O2" s="3" t="s">
        <v>43</v>
      </c>
      <c r="P2" s="3" t="s">
        <v>44</v>
      </c>
      <c r="Q2" s="3" t="s">
        <v>45</v>
      </c>
      <c r="R2" s="3" t="s">
        <v>46</v>
      </c>
      <c r="S2" s="3" t="s">
        <v>47</v>
      </c>
      <c r="T2" s="3" t="s">
        <v>48</v>
      </c>
      <c r="U2" s="3" t="s">
        <v>49</v>
      </c>
      <c r="V2" s="3" t="s">
        <v>50</v>
      </c>
      <c r="W2" s="3" t="s">
        <v>51</v>
      </c>
      <c r="X2" s="3" t="s">
        <v>52</v>
      </c>
      <c r="Y2" s="3" t="s">
        <v>53</v>
      </c>
      <c r="Z2" s="3" t="s">
        <v>54</v>
      </c>
      <c r="AA2" s="3" t="s">
        <v>55</v>
      </c>
      <c r="AB2" s="3" t="s">
        <v>56</v>
      </c>
      <c r="AC2" s="3" t="s">
        <v>57</v>
      </c>
    </row>
    <row r="3" spans="3:130" ht="15" x14ac:dyDescent="0.25">
      <c r="C3" t="s">
        <v>7</v>
      </c>
      <c r="D3">
        <v>417</v>
      </c>
      <c r="E3">
        <v>403</v>
      </c>
      <c r="F3">
        <v>404</v>
      </c>
      <c r="G3">
        <v>403</v>
      </c>
      <c r="H3">
        <v>426</v>
      </c>
      <c r="I3">
        <v>383</v>
      </c>
      <c r="J3">
        <v>307</v>
      </c>
      <c r="K3" s="6">
        <v>433</v>
      </c>
      <c r="L3" s="6">
        <v>354</v>
      </c>
      <c r="M3" s="6">
        <v>434</v>
      </c>
      <c r="N3" s="6">
        <v>434</v>
      </c>
      <c r="O3">
        <v>455</v>
      </c>
      <c r="P3">
        <v>368</v>
      </c>
      <c r="Q3">
        <v>375</v>
      </c>
      <c r="R3">
        <v>477</v>
      </c>
      <c r="S3">
        <v>409</v>
      </c>
      <c r="T3">
        <v>322</v>
      </c>
      <c r="U3">
        <v>397</v>
      </c>
      <c r="V3">
        <v>497</v>
      </c>
      <c r="W3">
        <v>434</v>
      </c>
      <c r="X3">
        <v>533</v>
      </c>
      <c r="Y3">
        <v>458</v>
      </c>
      <c r="Z3">
        <v>400</v>
      </c>
      <c r="AA3">
        <v>352</v>
      </c>
      <c r="AB3">
        <v>356</v>
      </c>
      <c r="AC3">
        <v>327</v>
      </c>
    </row>
    <row r="4" spans="3:130" ht="15" x14ac:dyDescent="0.25">
      <c r="C4" t="s">
        <v>6</v>
      </c>
      <c r="D4">
        <v>11.3</v>
      </c>
      <c r="E4">
        <v>11.5</v>
      </c>
      <c r="F4">
        <v>11</v>
      </c>
      <c r="G4">
        <v>10.3</v>
      </c>
      <c r="H4">
        <v>11.3</v>
      </c>
      <c r="I4">
        <v>11.4</v>
      </c>
      <c r="J4">
        <v>11.45</v>
      </c>
      <c r="K4" s="6">
        <v>11.5</v>
      </c>
      <c r="L4" s="6">
        <v>11.46</v>
      </c>
      <c r="M4" s="6">
        <v>11.4</v>
      </c>
      <c r="N4" s="6">
        <v>11.45</v>
      </c>
      <c r="O4">
        <v>11</v>
      </c>
      <c r="P4">
        <v>11.5</v>
      </c>
      <c r="Q4">
        <v>10.8</v>
      </c>
      <c r="R4">
        <v>11.4</v>
      </c>
      <c r="S4">
        <v>11.4</v>
      </c>
      <c r="T4">
        <v>11.4</v>
      </c>
      <c r="U4">
        <v>11.4</v>
      </c>
      <c r="V4">
        <v>11.2</v>
      </c>
      <c r="W4">
        <v>11.46</v>
      </c>
      <c r="X4">
        <v>11.45</v>
      </c>
      <c r="Y4">
        <v>11.25</v>
      </c>
      <c r="Z4">
        <v>11.4</v>
      </c>
      <c r="AA4">
        <v>11.4</v>
      </c>
      <c r="AB4">
        <v>10.4</v>
      </c>
      <c r="AC4">
        <v>8</v>
      </c>
    </row>
    <row r="5" spans="3:130" ht="15" x14ac:dyDescent="0.25">
      <c r="C5" t="s">
        <v>1</v>
      </c>
      <c r="D5">
        <v>3.95</v>
      </c>
      <c r="E5">
        <v>4.1260000000000003</v>
      </c>
      <c r="F5">
        <v>4</v>
      </c>
      <c r="G5">
        <v>4</v>
      </c>
      <c r="H5">
        <v>4.0650000000000004</v>
      </c>
      <c r="I5">
        <v>4.101</v>
      </c>
      <c r="J5">
        <v>4.03</v>
      </c>
      <c r="K5" s="6">
        <v>4.3499999999999996</v>
      </c>
      <c r="L5" s="6">
        <v>3.3</v>
      </c>
      <c r="M5" s="6">
        <v>4.3250000000000002</v>
      </c>
      <c r="N5" s="6">
        <v>4.0999999999999996</v>
      </c>
      <c r="O5">
        <v>4.125</v>
      </c>
      <c r="P5">
        <v>4.04</v>
      </c>
      <c r="Q5">
        <v>3.859</v>
      </c>
      <c r="R5">
        <v>4.4400000000000004</v>
      </c>
      <c r="S5">
        <v>4.03</v>
      </c>
      <c r="T5">
        <v>3.9350000000000001</v>
      </c>
      <c r="U5">
        <v>3.9350000000000001</v>
      </c>
      <c r="V5">
        <v>4.3099999999999996</v>
      </c>
      <c r="W5">
        <v>4.22</v>
      </c>
      <c r="X5">
        <v>4.4400000000000004</v>
      </c>
      <c r="Y5">
        <v>4.2</v>
      </c>
      <c r="Z5">
        <v>4.125</v>
      </c>
      <c r="AA5">
        <v>4</v>
      </c>
      <c r="AB5">
        <v>4.03</v>
      </c>
      <c r="AC5">
        <v>4.0060000000000002</v>
      </c>
    </row>
    <row r="6" spans="3:130" ht="15" x14ac:dyDescent="0.25">
      <c r="C6" t="s">
        <v>2</v>
      </c>
      <c r="D6">
        <v>4.25</v>
      </c>
      <c r="E6">
        <v>3.7650000000000001</v>
      </c>
      <c r="F6">
        <v>4</v>
      </c>
      <c r="G6">
        <v>4</v>
      </c>
      <c r="H6">
        <v>4.0999999999999996</v>
      </c>
      <c r="I6">
        <v>3.6219999999999999</v>
      </c>
      <c r="J6">
        <v>3</v>
      </c>
      <c r="K6" s="6">
        <v>3.64</v>
      </c>
      <c r="L6" s="6">
        <v>4.1280000000000001</v>
      </c>
      <c r="M6" s="6">
        <v>3.68</v>
      </c>
      <c r="N6" s="6">
        <v>4.0999999999999996</v>
      </c>
      <c r="O6">
        <v>4.25</v>
      </c>
      <c r="P6">
        <v>3.58</v>
      </c>
      <c r="Q6">
        <v>4</v>
      </c>
      <c r="R6">
        <v>3.85</v>
      </c>
      <c r="S6">
        <v>4</v>
      </c>
      <c r="T6">
        <v>3.31</v>
      </c>
      <c r="U6">
        <v>4.08</v>
      </c>
      <c r="V6">
        <v>4.25</v>
      </c>
      <c r="W6">
        <v>3.86</v>
      </c>
      <c r="X6">
        <v>4.3</v>
      </c>
      <c r="Y6">
        <v>4.125</v>
      </c>
      <c r="Z6">
        <v>3.7490000000000001</v>
      </c>
      <c r="AA6">
        <v>3.5</v>
      </c>
      <c r="AB6">
        <v>3.48</v>
      </c>
      <c r="AC6">
        <v>3.25</v>
      </c>
    </row>
    <row r="7" spans="3:130" ht="15" x14ac:dyDescent="0.25">
      <c r="C7" t="s">
        <v>3</v>
      </c>
      <c r="D7">
        <v>235</v>
      </c>
      <c r="E7">
        <v>235</v>
      </c>
      <c r="F7">
        <v>248</v>
      </c>
      <c r="G7">
        <v>244</v>
      </c>
      <c r="H7">
        <v>238</v>
      </c>
      <c r="I7">
        <v>240</v>
      </c>
      <c r="J7">
        <v>230</v>
      </c>
      <c r="K7" s="6">
        <v>251</v>
      </c>
      <c r="L7" s="6">
        <v>242</v>
      </c>
      <c r="M7" s="6">
        <v>239</v>
      </c>
      <c r="N7" s="6">
        <v>247</v>
      </c>
      <c r="O7">
        <v>245</v>
      </c>
      <c r="P7">
        <v>238</v>
      </c>
      <c r="Q7">
        <v>254</v>
      </c>
      <c r="R7">
        <v>247</v>
      </c>
      <c r="S7">
        <v>224</v>
      </c>
      <c r="T7">
        <v>231</v>
      </c>
      <c r="U7">
        <v>229</v>
      </c>
      <c r="V7">
        <v>257</v>
      </c>
      <c r="W7">
        <v>252</v>
      </c>
      <c r="X7">
        <v>248</v>
      </c>
      <c r="Y7">
        <v>250</v>
      </c>
      <c r="Z7">
        <v>243</v>
      </c>
      <c r="AA7">
        <v>240</v>
      </c>
      <c r="AB7">
        <v>241</v>
      </c>
      <c r="AC7">
        <v>248</v>
      </c>
    </row>
    <row r="8" spans="3:130" ht="15" x14ac:dyDescent="0.25">
      <c r="C8" t="s">
        <v>4</v>
      </c>
      <c r="D8">
        <v>0.64800000000000002</v>
      </c>
      <c r="E8">
        <v>0.64500000000000002</v>
      </c>
      <c r="F8">
        <v>0.65</v>
      </c>
      <c r="G8">
        <v>0.64</v>
      </c>
      <c r="H8">
        <v>0.65</v>
      </c>
      <c r="I8">
        <v>0.64800000000000002</v>
      </c>
      <c r="J8">
        <v>0.625</v>
      </c>
      <c r="K8" s="6">
        <v>0.65</v>
      </c>
      <c r="L8" s="6">
        <v>0.64600000000000002</v>
      </c>
      <c r="M8" s="6">
        <v>0.65</v>
      </c>
      <c r="N8" s="6">
        <v>0.64</v>
      </c>
      <c r="O8">
        <v>0.64500000000000002</v>
      </c>
      <c r="P8">
        <v>0.64200000000000002</v>
      </c>
      <c r="Q8">
        <v>0.59499999999999997</v>
      </c>
      <c r="R8">
        <v>0.63400000000000001</v>
      </c>
      <c r="S8">
        <v>0.60699999999999998</v>
      </c>
      <c r="T8">
        <v>0.59</v>
      </c>
      <c r="U8">
        <v>0.54700000000000004</v>
      </c>
      <c r="V8">
        <v>0.64800000000000002</v>
      </c>
      <c r="W8">
        <v>0.6</v>
      </c>
      <c r="X8">
        <v>0.64900000000000002</v>
      </c>
      <c r="Y8">
        <v>0.64</v>
      </c>
      <c r="Z8">
        <v>0.65</v>
      </c>
      <c r="AA8">
        <v>0.65</v>
      </c>
      <c r="AB8">
        <v>0.51</v>
      </c>
      <c r="AC8">
        <v>0.58399999999999996</v>
      </c>
    </row>
    <row r="9" spans="3:130" ht="15" x14ac:dyDescent="0.25">
      <c r="C9" t="s">
        <v>5</v>
      </c>
      <c r="D9">
        <v>2.1800000000000002</v>
      </c>
      <c r="E9">
        <v>2.19</v>
      </c>
      <c r="F9">
        <v>2.19</v>
      </c>
      <c r="G9">
        <v>2.09</v>
      </c>
      <c r="H9">
        <v>2.2000000000000002</v>
      </c>
      <c r="I9">
        <v>2.165</v>
      </c>
      <c r="J9">
        <v>2.1</v>
      </c>
      <c r="K9" s="6">
        <v>2.2000000000000002</v>
      </c>
      <c r="L9" s="6">
        <v>2.16</v>
      </c>
      <c r="M9" s="6">
        <v>2.25</v>
      </c>
      <c r="N9" s="6">
        <v>2.15</v>
      </c>
      <c r="O9">
        <v>2.2749999999999999</v>
      </c>
      <c r="P9">
        <v>2.02</v>
      </c>
      <c r="Q9">
        <v>1.92</v>
      </c>
      <c r="R9">
        <v>2.4500000000000002</v>
      </c>
      <c r="S9">
        <v>2.165</v>
      </c>
      <c r="T9">
        <v>2.02</v>
      </c>
      <c r="U9">
        <v>2</v>
      </c>
      <c r="V9">
        <v>2.25</v>
      </c>
      <c r="W9">
        <v>2.13</v>
      </c>
      <c r="X9">
        <v>2.4500000000000002</v>
      </c>
      <c r="Y9">
        <v>2.125</v>
      </c>
      <c r="Z9">
        <v>2.08</v>
      </c>
      <c r="AA9">
        <v>2.1</v>
      </c>
      <c r="AB9">
        <v>2.02</v>
      </c>
      <c r="AC9">
        <v>2.02</v>
      </c>
    </row>
    <row r="10" spans="3:130" ht="15" x14ac:dyDescent="0.25">
      <c r="C10" t="s">
        <v>8</v>
      </c>
      <c r="D10">
        <v>2500</v>
      </c>
      <c r="E10">
        <v>2500</v>
      </c>
      <c r="F10">
        <v>2500</v>
      </c>
      <c r="G10">
        <v>2500</v>
      </c>
      <c r="H10">
        <v>2500</v>
      </c>
      <c r="I10">
        <v>2500</v>
      </c>
      <c r="J10">
        <v>2500</v>
      </c>
      <c r="K10" s="6">
        <v>2500</v>
      </c>
      <c r="L10" s="6">
        <v>2500</v>
      </c>
      <c r="M10" s="6">
        <v>2500</v>
      </c>
      <c r="N10" s="6">
        <v>2500</v>
      </c>
      <c r="O10">
        <v>2500</v>
      </c>
      <c r="P10">
        <v>2500</v>
      </c>
      <c r="Q10">
        <v>2500</v>
      </c>
      <c r="R10">
        <v>2500</v>
      </c>
      <c r="S10">
        <v>2500</v>
      </c>
      <c r="T10">
        <v>2500</v>
      </c>
      <c r="U10">
        <v>2500</v>
      </c>
      <c r="V10">
        <v>2500</v>
      </c>
      <c r="W10">
        <v>2500</v>
      </c>
      <c r="X10">
        <v>2500</v>
      </c>
      <c r="Y10">
        <v>2500</v>
      </c>
      <c r="Z10">
        <v>2500</v>
      </c>
      <c r="AA10">
        <v>2500</v>
      </c>
      <c r="AB10">
        <v>2500</v>
      </c>
      <c r="AC10">
        <v>2500</v>
      </c>
    </row>
    <row r="11" spans="3:130" ht="15" x14ac:dyDescent="0.25">
      <c r="C11" t="s">
        <v>19</v>
      </c>
      <c r="D11">
        <v>6500</v>
      </c>
      <c r="E11">
        <v>6500</v>
      </c>
      <c r="F11">
        <v>6500</v>
      </c>
      <c r="G11">
        <v>6500</v>
      </c>
      <c r="H11">
        <v>6500</v>
      </c>
      <c r="I11">
        <v>6500</v>
      </c>
      <c r="J11">
        <v>6500</v>
      </c>
      <c r="K11" s="6">
        <v>6500</v>
      </c>
      <c r="L11" s="6">
        <v>6500</v>
      </c>
      <c r="M11" s="6">
        <v>6500</v>
      </c>
      <c r="N11" s="6">
        <v>6500</v>
      </c>
      <c r="O11">
        <v>6500</v>
      </c>
      <c r="P11">
        <v>6500</v>
      </c>
      <c r="Q11">
        <v>6500</v>
      </c>
      <c r="R11">
        <v>6500</v>
      </c>
      <c r="S11">
        <v>6500</v>
      </c>
      <c r="T11">
        <v>6500</v>
      </c>
      <c r="U11">
        <v>6500</v>
      </c>
      <c r="V11">
        <v>6500</v>
      </c>
      <c r="W11">
        <v>6500</v>
      </c>
      <c r="X11">
        <v>6500</v>
      </c>
      <c r="Y11">
        <v>6500</v>
      </c>
      <c r="Z11">
        <v>6500</v>
      </c>
      <c r="AA11">
        <v>6500</v>
      </c>
      <c r="AB11">
        <v>6500</v>
      </c>
      <c r="AC11">
        <v>6500</v>
      </c>
    </row>
    <row r="12" spans="3:130" ht="15" x14ac:dyDescent="0.25">
      <c r="C12" t="s">
        <v>9</v>
      </c>
      <c r="D12">
        <v>6289.3647809888471</v>
      </c>
      <c r="E12">
        <v>6289.0636419103266</v>
      </c>
      <c r="F12">
        <v>6293.0950677529436</v>
      </c>
      <c r="G12">
        <v>6260.4046316135618</v>
      </c>
      <c r="H12">
        <v>6295.5112055336012</v>
      </c>
      <c r="I12">
        <v>6285.6189705888273</v>
      </c>
      <c r="J12">
        <v>6249.9842989885292</v>
      </c>
      <c r="K12" s="6">
        <v>6292.0946568348672</v>
      </c>
      <c r="L12" s="6">
        <v>6384.7902901566686</v>
      </c>
      <c r="M12" s="6">
        <v>6307.7343780025058</v>
      </c>
      <c r="N12" s="6">
        <v>6274.2828296740336</v>
      </c>
      <c r="O12">
        <v>6306.9561252599296</v>
      </c>
      <c r="P12">
        <v>6245.0266384484039</v>
      </c>
      <c r="Q12">
        <v>6159.9811815387875</v>
      </c>
      <c r="R12">
        <v>6331.8723688154914</v>
      </c>
      <c r="S12">
        <v>6246.958779265603</v>
      </c>
      <c r="T12">
        <v>6191.0699549284054</v>
      </c>
      <c r="U12">
        <v>6133.3062669167448</v>
      </c>
      <c r="V12">
        <v>6299.0708121803755</v>
      </c>
      <c r="W12">
        <v>6230.2103199900521</v>
      </c>
      <c r="X12">
        <v>6343.3449020648677</v>
      </c>
      <c r="Y12">
        <v>6266.7660298069359</v>
      </c>
      <c r="Z12">
        <v>6264.8143984523476</v>
      </c>
      <c r="AA12">
        <v>6271.5999715029357</v>
      </c>
      <c r="AB12">
        <v>6088.8455197546382</v>
      </c>
      <c r="AC12">
        <v>6179.9336726752699</v>
      </c>
    </row>
    <row r="13" spans="3:130" ht="15" x14ac:dyDescent="0.25">
      <c r="C13" t="s">
        <v>10</v>
      </c>
      <c r="D13">
        <v>4886.3647809888471</v>
      </c>
      <c r="E13">
        <v>4886.0636419103266</v>
      </c>
      <c r="F13">
        <v>4890.0950677529436</v>
      </c>
      <c r="G13">
        <v>4857.4046316135618</v>
      </c>
      <c r="H13">
        <v>4892.5112055336012</v>
      </c>
      <c r="I13">
        <v>4882.6189705888273</v>
      </c>
      <c r="J13">
        <v>4846.9842989885292</v>
      </c>
      <c r="K13" s="6">
        <v>4889.0946568348672</v>
      </c>
      <c r="L13" s="6">
        <v>4981.7902901566686</v>
      </c>
      <c r="M13" s="6">
        <v>4904.7343780025058</v>
      </c>
      <c r="N13" s="6">
        <v>4871.2828296740336</v>
      </c>
      <c r="O13">
        <v>4903.9561252599296</v>
      </c>
      <c r="P13">
        <v>4842.0266384484039</v>
      </c>
      <c r="Q13">
        <v>4344.9811815387875</v>
      </c>
      <c r="R13">
        <v>4928.8723688154914</v>
      </c>
      <c r="S13">
        <v>4843.958779265603</v>
      </c>
      <c r="T13">
        <v>4376.0699549284054</v>
      </c>
      <c r="U13">
        <v>4318.3062669167448</v>
      </c>
      <c r="V13">
        <v>4896.0708121803755</v>
      </c>
      <c r="W13">
        <v>4827.2103199900521</v>
      </c>
      <c r="X13">
        <v>4940.3449020648677</v>
      </c>
      <c r="Y13">
        <v>4863.7660298069359</v>
      </c>
      <c r="Z13">
        <v>4861.8143984523476</v>
      </c>
      <c r="AA13">
        <v>4868.5999715029357</v>
      </c>
      <c r="AB13">
        <v>4273.8455197546382</v>
      </c>
      <c r="AC13">
        <v>4364.9336726752699</v>
      </c>
    </row>
    <row r="14" spans="3:130" ht="15" x14ac:dyDescent="0.25">
      <c r="C14" s="1" t="s">
        <v>11</v>
      </c>
      <c r="D14">
        <v>1.0655463322050636</v>
      </c>
      <c r="E14">
        <v>1.0565386841851541</v>
      </c>
      <c r="F14">
        <v>1.0809038171948062</v>
      </c>
      <c r="G14">
        <v>1.0537473497189715</v>
      </c>
      <c r="H14">
        <v>1.0616189615130662</v>
      </c>
      <c r="I14">
        <v>1.0723922766102612</v>
      </c>
      <c r="J14">
        <v>1.0503649879606869</v>
      </c>
      <c r="K14" s="6">
        <v>1.068928171306899</v>
      </c>
      <c r="L14" s="6">
        <v>1.0671052029968788</v>
      </c>
      <c r="M14" s="6">
        <v>1.0407783007979374</v>
      </c>
      <c r="N14" s="6">
        <v>1.0740638441440307</v>
      </c>
      <c r="O14">
        <v>1.0493808645591585</v>
      </c>
      <c r="P14">
        <v>1.0794625301742964</v>
      </c>
      <c r="Q14">
        <v>1.0820069564293502</v>
      </c>
      <c r="R14">
        <v>1.0177562698004088</v>
      </c>
      <c r="S14">
        <v>1.0135350862676809</v>
      </c>
      <c r="T14">
        <v>1.0356698114280982</v>
      </c>
      <c r="U14">
        <v>1.0198381664990628</v>
      </c>
      <c r="V14">
        <v>1.059365202235395</v>
      </c>
      <c r="W14">
        <v>1.0479933250383102</v>
      </c>
      <c r="X14">
        <v>1.0181657870269114</v>
      </c>
      <c r="Y14">
        <v>1.0661788516722628</v>
      </c>
      <c r="Z14">
        <v>1.0812374884295459</v>
      </c>
      <c r="AA14">
        <v>1.0887192848739911</v>
      </c>
      <c r="AB14">
        <v>0.97963631936602658</v>
      </c>
      <c r="AC14">
        <v>0.96767716966302486</v>
      </c>
    </row>
    <row r="15" spans="3:130" ht="15" x14ac:dyDescent="0.25">
      <c r="C15" s="1" t="s">
        <v>12</v>
      </c>
      <c r="D15">
        <v>1.4765521929743302</v>
      </c>
      <c r="E15">
        <v>1.4686497163730186</v>
      </c>
      <c r="F15">
        <v>1.4938967411087256</v>
      </c>
      <c r="G15">
        <v>1.4571290425371066</v>
      </c>
      <c r="H15">
        <v>1.4716737634908525</v>
      </c>
      <c r="I15">
        <v>1.4893356852909716</v>
      </c>
      <c r="J15">
        <v>1.4672628238488699</v>
      </c>
      <c r="K15" s="6">
        <v>1.4824282935984119</v>
      </c>
      <c r="L15" s="6">
        <v>1.471306631186724</v>
      </c>
      <c r="M15" s="6">
        <v>1.4494916563539295</v>
      </c>
      <c r="N15" s="6">
        <v>1.4829835187286002</v>
      </c>
      <c r="O15">
        <v>1.4515888784040851</v>
      </c>
      <c r="P15">
        <v>1.4977161107431636</v>
      </c>
      <c r="Q15">
        <v>1.4798524321985533</v>
      </c>
      <c r="R15">
        <v>1.4137613801956064</v>
      </c>
      <c r="S15">
        <v>1.4067333310807</v>
      </c>
      <c r="T15">
        <v>1.4383127130670323</v>
      </c>
      <c r="U15">
        <v>1.3945217818892723</v>
      </c>
      <c r="V15">
        <v>1.4583062484882459</v>
      </c>
      <c r="W15">
        <v>1.4418478706570976</v>
      </c>
      <c r="X15">
        <v>1.4096854794806537</v>
      </c>
      <c r="Y15">
        <v>1.4695311045014354</v>
      </c>
      <c r="Z15">
        <v>1.49824593958561</v>
      </c>
      <c r="AA15">
        <v>1.5110537246235323</v>
      </c>
      <c r="AB15">
        <v>1.3396828166327894</v>
      </c>
      <c r="AC15">
        <v>1.3419067104988425</v>
      </c>
    </row>
    <row r="16" spans="3:130" ht="30" x14ac:dyDescent="0.25">
      <c r="C16" s="1" t="s">
        <v>13</v>
      </c>
      <c r="D16">
        <v>1.2572899896313989</v>
      </c>
      <c r="E16">
        <v>1.2273875488285275</v>
      </c>
      <c r="F16">
        <v>1.2437014431568789</v>
      </c>
      <c r="G16">
        <v>1.2336348490668247</v>
      </c>
      <c r="H16">
        <v>1.2417586301289221</v>
      </c>
      <c r="I16">
        <v>1.2316681554491364</v>
      </c>
      <c r="J16">
        <v>1.2039080547572234</v>
      </c>
      <c r="K16" s="6">
        <v>1.216735805991215</v>
      </c>
      <c r="L16" s="6">
        <v>1.196286491308584</v>
      </c>
      <c r="M16" s="6">
        <v>1.2074876159524175</v>
      </c>
      <c r="N16" s="6">
        <v>1.2389456971501387</v>
      </c>
      <c r="O16">
        <v>1.227225621394969</v>
      </c>
      <c r="P16">
        <v>1.2404208582882581</v>
      </c>
      <c r="Q16">
        <v>1.2310020517368176</v>
      </c>
      <c r="R16">
        <v>1.1739890464732134</v>
      </c>
      <c r="S16">
        <v>1.2061882853006523</v>
      </c>
      <c r="T16">
        <v>1.1961058202208756</v>
      </c>
      <c r="U16">
        <v>1.1814252311209665</v>
      </c>
      <c r="V16">
        <v>1.2106964929522985</v>
      </c>
      <c r="W16">
        <v>1.1922873605457851</v>
      </c>
      <c r="X16">
        <v>1.1804237467569063</v>
      </c>
      <c r="Y16">
        <v>1.2267656332910279</v>
      </c>
      <c r="Z16">
        <v>1.2428188023806617</v>
      </c>
      <c r="AA16">
        <v>1.241080068283904</v>
      </c>
      <c r="AB16">
        <v>1.1181959158181909</v>
      </c>
      <c r="AC16">
        <v>1.1470012061611108</v>
      </c>
    </row>
    <row r="17" spans="3:37" ht="30" x14ac:dyDescent="0.25">
      <c r="C17" s="1" t="s">
        <v>14</v>
      </c>
      <c r="D17">
        <v>1.3798582114832323</v>
      </c>
      <c r="E17">
        <v>1.3474373161653315</v>
      </c>
      <c r="F17">
        <v>1.3634080383553286</v>
      </c>
      <c r="G17">
        <v>1.34912272987096</v>
      </c>
      <c r="H17">
        <v>1.3622457564108745</v>
      </c>
      <c r="I17">
        <v>1.3524658198819366</v>
      </c>
      <c r="J17">
        <v>1.3240021580067465</v>
      </c>
      <c r="K17" s="6">
        <v>1.333285916405992</v>
      </c>
      <c r="L17" s="6">
        <v>1.3197454084684404</v>
      </c>
      <c r="M17" s="6">
        <v>1.3252206471746313</v>
      </c>
      <c r="N17" s="6">
        <v>1.3558464972340978</v>
      </c>
      <c r="O17">
        <v>1.3437057636777681</v>
      </c>
      <c r="P17">
        <v>1.3609916843311374</v>
      </c>
      <c r="Q17">
        <v>1.3369009639589893</v>
      </c>
      <c r="R17">
        <v>1.2850704794361225</v>
      </c>
      <c r="S17">
        <v>1.3187243821754102</v>
      </c>
      <c r="T17">
        <v>1.3086167809355533</v>
      </c>
      <c r="U17">
        <v>1.2766347703472811</v>
      </c>
      <c r="V17">
        <v>1.3212212325612831</v>
      </c>
      <c r="W17">
        <v>1.2969834778586666</v>
      </c>
      <c r="X17">
        <v>1.2913103353011466</v>
      </c>
      <c r="Y17">
        <v>1.339451004493702</v>
      </c>
      <c r="Z17">
        <v>1.3627249566663773</v>
      </c>
      <c r="AA17">
        <v>1.3637259594458477</v>
      </c>
      <c r="AB17">
        <v>1.2019347892907211</v>
      </c>
      <c r="AC17">
        <v>1.2451969335981916</v>
      </c>
    </row>
    <row r="18" spans="3:37" ht="15" x14ac:dyDescent="0.25">
      <c r="C18" s="1" t="s">
        <v>15</v>
      </c>
      <c r="D18">
        <v>444.33282052951148</v>
      </c>
      <c r="E18">
        <v>425.78508972661712</v>
      </c>
      <c r="F18">
        <v>436.68514214670171</v>
      </c>
      <c r="G18">
        <v>424.66018193674552</v>
      </c>
      <c r="H18">
        <v>452.24967760456622</v>
      </c>
      <c r="I18">
        <v>410.72624194173</v>
      </c>
      <c r="J18">
        <v>322.46205130393088</v>
      </c>
      <c r="K18" s="6">
        <v>462.84589817588727</v>
      </c>
      <c r="L18" s="6">
        <v>377.75524186089513</v>
      </c>
      <c r="M18" s="6">
        <v>451.69778254630484</v>
      </c>
      <c r="N18" s="6">
        <v>466.14370835850929</v>
      </c>
      <c r="O18">
        <v>477.4682933744171</v>
      </c>
      <c r="P18">
        <v>397.24221110414106</v>
      </c>
      <c r="Q18">
        <v>405.75260866100632</v>
      </c>
      <c r="R18">
        <v>485.46974069479501</v>
      </c>
      <c r="S18">
        <v>414.53585028348147</v>
      </c>
      <c r="T18">
        <v>333.4856792798476</v>
      </c>
      <c r="U18">
        <v>404.8757521001279</v>
      </c>
      <c r="V18">
        <v>526.50450551099129</v>
      </c>
      <c r="W18">
        <v>454.82910306662666</v>
      </c>
      <c r="X18">
        <v>542.68236448534378</v>
      </c>
      <c r="Y18">
        <v>488.30991406589635</v>
      </c>
      <c r="Z18">
        <v>432.49499537181839</v>
      </c>
      <c r="AA18">
        <v>383.22918827564484</v>
      </c>
      <c r="AB18">
        <v>348.75052969430544</v>
      </c>
      <c r="AC18">
        <v>316.43043447980915</v>
      </c>
    </row>
    <row r="19" spans="3:37" ht="15" x14ac:dyDescent="0.25">
      <c r="C19" s="1" t="s">
        <v>16</v>
      </c>
      <c r="D19">
        <v>615.72226447029573</v>
      </c>
      <c r="E19">
        <v>591.86583569832646</v>
      </c>
      <c r="F19">
        <v>603.53428340792516</v>
      </c>
      <c r="G19">
        <v>587.22300414245399</v>
      </c>
      <c r="H19">
        <v>626.93302324710316</v>
      </c>
      <c r="I19">
        <v>570.4155674664421</v>
      </c>
      <c r="J19">
        <v>450.44968692160307</v>
      </c>
      <c r="K19" s="6">
        <v>641.89145112811229</v>
      </c>
      <c r="L19" s="6">
        <v>520.84254744010025</v>
      </c>
      <c r="M19" s="6">
        <v>629.07937885760543</v>
      </c>
      <c r="N19" s="6">
        <v>643.61484712821255</v>
      </c>
      <c r="O19">
        <v>660.47293967385872</v>
      </c>
      <c r="P19">
        <v>551.15952875348421</v>
      </c>
      <c r="Q19">
        <v>554.94466207445748</v>
      </c>
      <c r="R19">
        <v>674.36417835330428</v>
      </c>
      <c r="S19">
        <v>575.35393241200632</v>
      </c>
      <c r="T19">
        <v>463.13669360758439</v>
      </c>
      <c r="U19">
        <v>553.62514741004111</v>
      </c>
      <c r="V19">
        <v>724.77820549865817</v>
      </c>
      <c r="W19">
        <v>625.76197586518037</v>
      </c>
      <c r="X19">
        <v>751.36236056318842</v>
      </c>
      <c r="Y19">
        <v>673.04524586165746</v>
      </c>
      <c r="Z19">
        <v>599.29837583424398</v>
      </c>
      <c r="AA19">
        <v>531.89091106748333</v>
      </c>
      <c r="AB19">
        <v>476.92708272127305</v>
      </c>
      <c r="AC19">
        <v>438.80349433312148</v>
      </c>
    </row>
    <row r="20" spans="3:37" ht="15" x14ac:dyDescent="0.25">
      <c r="C20" s="1" t="s">
        <v>17</v>
      </c>
      <c r="D20">
        <v>524.28992567629336</v>
      </c>
      <c r="E20">
        <v>494.63718217789659</v>
      </c>
      <c r="F20">
        <v>502.4553830353791</v>
      </c>
      <c r="G20">
        <v>497.15484417393037</v>
      </c>
      <c r="H20">
        <v>528.98917643492075</v>
      </c>
      <c r="I20">
        <v>471.72890353701928</v>
      </c>
      <c r="J20">
        <v>369.59977281046758</v>
      </c>
      <c r="K20" s="6">
        <v>526.84660399419613</v>
      </c>
      <c r="L20" s="6">
        <v>423.48541792323874</v>
      </c>
      <c r="M20" s="6">
        <v>524.04962532334923</v>
      </c>
      <c r="N20" s="6">
        <v>537.70243256316019</v>
      </c>
      <c r="O20">
        <v>558.38765773471096</v>
      </c>
      <c r="P20">
        <v>456.474875850079</v>
      </c>
      <c r="Q20">
        <v>461.62576940130663</v>
      </c>
      <c r="R20">
        <v>559.99277516772281</v>
      </c>
      <c r="S20">
        <v>493.33100868796674</v>
      </c>
      <c r="T20">
        <v>385.14607411112195</v>
      </c>
      <c r="U20">
        <v>469.0258167550237</v>
      </c>
      <c r="V20">
        <v>601.71615699729239</v>
      </c>
      <c r="W20">
        <v>517.45271447687071</v>
      </c>
      <c r="X20">
        <v>629.16585702143107</v>
      </c>
      <c r="Y20">
        <v>561.85866004729075</v>
      </c>
      <c r="Z20">
        <v>497.12752095226466</v>
      </c>
      <c r="AA20">
        <v>436.86018403593425</v>
      </c>
      <c r="AB20">
        <v>398.07774603127598</v>
      </c>
      <c r="AC20">
        <v>375.06939441468325</v>
      </c>
    </row>
    <row r="21" spans="3:37" ht="15" x14ac:dyDescent="0.25">
      <c r="C21" s="1" t="s">
        <v>18</v>
      </c>
      <c r="D21">
        <v>575.40087418850783</v>
      </c>
      <c r="E21">
        <v>543.01723841462854</v>
      </c>
      <c r="F21">
        <v>550.81684749555279</v>
      </c>
      <c r="G21">
        <v>543.69646013799695</v>
      </c>
      <c r="H21">
        <v>580.31669223103256</v>
      </c>
      <c r="I21">
        <v>517.9944090147817</v>
      </c>
      <c r="J21">
        <v>406.46866250807119</v>
      </c>
      <c r="K21" s="6">
        <v>577.31280180379451</v>
      </c>
      <c r="L21" s="6">
        <v>467.1898745978279</v>
      </c>
      <c r="M21" s="6">
        <v>575.14576087378998</v>
      </c>
      <c r="N21" s="6">
        <v>588.43737979959849</v>
      </c>
      <c r="O21">
        <v>611.38612247338449</v>
      </c>
      <c r="P21">
        <v>500.84493983385858</v>
      </c>
      <c r="Q21">
        <v>501.33786148462099</v>
      </c>
      <c r="R21">
        <v>612.97861869103042</v>
      </c>
      <c r="S21">
        <v>539.3582723097428</v>
      </c>
      <c r="T21">
        <v>421.37460346124817</v>
      </c>
      <c r="U21">
        <v>506.82400382787063</v>
      </c>
      <c r="V21">
        <v>656.64695258295774</v>
      </c>
      <c r="W21">
        <v>562.89082939066134</v>
      </c>
      <c r="X21">
        <v>688.2684087155111</v>
      </c>
      <c r="Y21">
        <v>613.46856005811549</v>
      </c>
      <c r="Z21">
        <v>545.0899826665509</v>
      </c>
      <c r="AA21">
        <v>480.0315377249384</v>
      </c>
      <c r="AB21">
        <v>427.88878498749671</v>
      </c>
      <c r="AC21">
        <v>407.17939728660866</v>
      </c>
    </row>
    <row r="22" spans="3:37" ht="15" x14ac:dyDescent="0.25">
      <c r="C22" s="1" t="s">
        <v>22</v>
      </c>
      <c r="D22">
        <v>621</v>
      </c>
      <c r="E22">
        <v>583</v>
      </c>
      <c r="F22">
        <v>580</v>
      </c>
      <c r="G22">
        <v>576</v>
      </c>
      <c r="H22">
        <v>600</v>
      </c>
      <c r="I22">
        <v>526</v>
      </c>
      <c r="J22">
        <v>417</v>
      </c>
      <c r="K22" s="6">
        <v>594</v>
      </c>
      <c r="L22" s="6">
        <v>489</v>
      </c>
      <c r="M22" s="6">
        <v>576</v>
      </c>
      <c r="N22" s="6">
        <v>594</v>
      </c>
      <c r="O22">
        <v>585</v>
      </c>
      <c r="P22">
        <v>476</v>
      </c>
      <c r="Q22">
        <v>477</v>
      </c>
      <c r="R22">
        <v>605</v>
      </c>
      <c r="S22">
        <v>516</v>
      </c>
      <c r="T22">
        <v>407</v>
      </c>
      <c r="U22">
        <v>516</v>
      </c>
      <c r="V22">
        <v>622</v>
      </c>
      <c r="W22">
        <v>530</v>
      </c>
      <c r="X22">
        <v>672</v>
      </c>
      <c r="Y22">
        <v>583</v>
      </c>
      <c r="Z22">
        <v>474</v>
      </c>
      <c r="AA22">
        <v>353</v>
      </c>
      <c r="AB22">
        <v>365</v>
      </c>
      <c r="AC22">
        <v>299</v>
      </c>
    </row>
    <row r="23" spans="3:37" ht="15" x14ac:dyDescent="0.25">
      <c r="C23" s="1" t="s">
        <v>23</v>
      </c>
      <c r="D23">
        <v>700</v>
      </c>
      <c r="E23">
        <v>613</v>
      </c>
      <c r="F23">
        <v>623</v>
      </c>
      <c r="G23">
        <v>634</v>
      </c>
      <c r="H23">
        <v>643</v>
      </c>
      <c r="I23">
        <v>610</v>
      </c>
      <c r="J23">
        <v>450</v>
      </c>
      <c r="K23" s="6">
        <v>639</v>
      </c>
      <c r="L23" s="6">
        <v>599</v>
      </c>
      <c r="M23" s="6">
        <v>634</v>
      </c>
      <c r="N23" s="6">
        <v>624</v>
      </c>
      <c r="O23">
        <v>639</v>
      </c>
      <c r="P23">
        <v>519</v>
      </c>
      <c r="Q23">
        <v>523</v>
      </c>
      <c r="R23">
        <v>653</v>
      </c>
      <c r="S23">
        <v>529</v>
      </c>
      <c r="T23">
        <v>451</v>
      </c>
      <c r="U23">
        <v>529</v>
      </c>
      <c r="V23">
        <v>660</v>
      </c>
      <c r="W23">
        <v>587</v>
      </c>
      <c r="X23">
        <v>668</v>
      </c>
      <c r="Y23">
        <v>619</v>
      </c>
      <c r="Z23">
        <v>489</v>
      </c>
      <c r="AA23">
        <v>408</v>
      </c>
      <c r="AB23">
        <v>321</v>
      </c>
      <c r="AC23">
        <v>298</v>
      </c>
    </row>
    <row r="24" spans="3:37" ht="15" x14ac:dyDescent="0.25">
      <c r="C24" s="1" t="s">
        <v>28</v>
      </c>
      <c r="D24">
        <f>D22/D3</f>
        <v>1.4892086330935252</v>
      </c>
      <c r="E24">
        <f t="shared" ref="E24:G24" si="2">E22/E3</f>
        <v>1.4466501240694789</v>
      </c>
      <c r="F24">
        <f t="shared" si="2"/>
        <v>1.4356435643564356</v>
      </c>
      <c r="G24">
        <f t="shared" si="2"/>
        <v>1.4292803970223324</v>
      </c>
      <c r="H24">
        <f t="shared" ref="H24:I24" si="3">H22/H3</f>
        <v>1.408450704225352</v>
      </c>
      <c r="I24">
        <f t="shared" si="3"/>
        <v>1.3733681462140992</v>
      </c>
      <c r="J24">
        <f t="shared" ref="J24:K24" si="4">J22/J3</f>
        <v>1.3583061889250814</v>
      </c>
      <c r="K24" s="6">
        <f t="shared" si="4"/>
        <v>1.371824480369515</v>
      </c>
      <c r="L24" s="6">
        <f t="shared" ref="L24:M24" si="5">L22/L3</f>
        <v>1.3813559322033899</v>
      </c>
      <c r="M24" s="6">
        <f t="shared" si="5"/>
        <v>1.3271889400921659</v>
      </c>
      <c r="N24" s="6">
        <f t="shared" ref="N24:O24" si="6">N22/N3</f>
        <v>1.368663594470046</v>
      </c>
      <c r="O24">
        <f t="shared" si="6"/>
        <v>1.2857142857142858</v>
      </c>
      <c r="P24">
        <f t="shared" ref="P24:Q24" si="7">P22/P3</f>
        <v>1.2934782608695652</v>
      </c>
      <c r="Q24">
        <f t="shared" si="7"/>
        <v>1.272</v>
      </c>
      <c r="R24">
        <f t="shared" ref="R24:S24" si="8">R22/R3</f>
        <v>1.2683438155136268</v>
      </c>
      <c r="S24">
        <f t="shared" si="8"/>
        <v>1.2616136919315404</v>
      </c>
      <c r="T24">
        <f t="shared" ref="T24:U24" si="9">T22/T3</f>
        <v>1.2639751552795031</v>
      </c>
      <c r="U24">
        <f t="shared" si="9"/>
        <v>1.2997481108312343</v>
      </c>
      <c r="V24">
        <f t="shared" ref="V24:W24" si="10">V22/V3</f>
        <v>1.2515090543259557</v>
      </c>
      <c r="W24">
        <f t="shared" si="10"/>
        <v>1.2211981566820276</v>
      </c>
      <c r="X24">
        <f t="shared" ref="X24:Y24" si="11">X22/X3</f>
        <v>1.2607879924953096</v>
      </c>
      <c r="Y24">
        <f t="shared" si="11"/>
        <v>1.2729257641921397</v>
      </c>
      <c r="Z24">
        <f t="shared" ref="Z24:AA24" si="12">Z22/Z3</f>
        <v>1.1850000000000001</v>
      </c>
      <c r="AA24">
        <f t="shared" si="12"/>
        <v>1.0028409090909092</v>
      </c>
      <c r="AB24">
        <f t="shared" ref="AB24:AC24" si="13">AB22/AB3</f>
        <v>1.0252808988764044</v>
      </c>
      <c r="AC24">
        <f t="shared" si="13"/>
        <v>0.91437308868501532</v>
      </c>
    </row>
    <row r="25" spans="3:37" ht="15" x14ac:dyDescent="0.25">
      <c r="C25" s="1" t="s">
        <v>29</v>
      </c>
      <c r="D25">
        <f>D23/D3</f>
        <v>1.6786570743405276</v>
      </c>
      <c r="E25">
        <f t="shared" ref="E25:G25" si="14">E23/E3</f>
        <v>1.5210918114143921</v>
      </c>
      <c r="F25">
        <f t="shared" si="14"/>
        <v>1.5420792079207921</v>
      </c>
      <c r="G25">
        <f t="shared" si="14"/>
        <v>1.5732009925558312</v>
      </c>
      <c r="H25">
        <f t="shared" ref="H25:I25" si="15">H23/H3</f>
        <v>1.5093896713615023</v>
      </c>
      <c r="I25">
        <f t="shared" si="15"/>
        <v>1.5926892950391645</v>
      </c>
      <c r="J25">
        <f t="shared" ref="J25:K25" si="16">J23/J3</f>
        <v>1.4657980456026058</v>
      </c>
      <c r="K25" s="6">
        <f t="shared" si="16"/>
        <v>1.4757505773672055</v>
      </c>
      <c r="L25" s="6">
        <f t="shared" ref="L25:M25" si="17">L23/L3</f>
        <v>1.692090395480226</v>
      </c>
      <c r="M25" s="6">
        <f t="shared" si="17"/>
        <v>1.4608294930875576</v>
      </c>
      <c r="N25" s="6">
        <f t="shared" ref="N25:O25" si="18">N23/N3</f>
        <v>1.4377880184331797</v>
      </c>
      <c r="O25">
        <f t="shared" si="18"/>
        <v>1.4043956043956043</v>
      </c>
      <c r="P25">
        <f t="shared" ref="P25:Q25" si="19">P23/P3</f>
        <v>1.4103260869565217</v>
      </c>
      <c r="Q25">
        <f t="shared" si="19"/>
        <v>1.3946666666666667</v>
      </c>
      <c r="R25">
        <f t="shared" ref="R25:S25" si="20">R23/R3</f>
        <v>1.3689727463312369</v>
      </c>
      <c r="S25">
        <f t="shared" si="20"/>
        <v>1.293398533007335</v>
      </c>
      <c r="T25">
        <f t="shared" ref="T25:U25" si="21">T23/T3</f>
        <v>1.4006211180124224</v>
      </c>
      <c r="U25">
        <f t="shared" si="21"/>
        <v>1.3324937027707808</v>
      </c>
      <c r="V25">
        <f t="shared" ref="V25:W25" si="22">V23/V3</f>
        <v>1.3279678068410463</v>
      </c>
      <c r="W25">
        <f t="shared" si="22"/>
        <v>1.3525345622119815</v>
      </c>
      <c r="X25">
        <f t="shared" ref="X25:Y25" si="23">X23/X3</f>
        <v>1.2532833020637899</v>
      </c>
      <c r="Y25">
        <f t="shared" si="23"/>
        <v>1.3515283842794761</v>
      </c>
      <c r="Z25">
        <f t="shared" ref="Z25:AA25" si="24">Z23/Z3</f>
        <v>1.2224999999999999</v>
      </c>
      <c r="AA25">
        <f t="shared" si="24"/>
        <v>1.1590909090909092</v>
      </c>
      <c r="AB25">
        <f t="shared" ref="AB25:AC25" si="25">AB23/AB3</f>
        <v>0.901685393258427</v>
      </c>
      <c r="AC25">
        <f t="shared" si="25"/>
        <v>0.91131498470948014</v>
      </c>
    </row>
    <row r="26" spans="3:37" ht="15" x14ac:dyDescent="0.25">
      <c r="C26" s="1" t="s">
        <v>30</v>
      </c>
      <c r="D26">
        <v>4700</v>
      </c>
      <c r="E26">
        <v>5000</v>
      </c>
      <c r="F26">
        <v>4800</v>
      </c>
      <c r="G26">
        <v>4900</v>
      </c>
      <c r="H26">
        <v>4800</v>
      </c>
      <c r="I26">
        <v>5400</v>
      </c>
      <c r="J26">
        <v>4700</v>
      </c>
      <c r="K26" s="6">
        <v>5000</v>
      </c>
      <c r="L26" s="6">
        <v>6200</v>
      </c>
      <c r="M26" s="6">
        <v>4900</v>
      </c>
      <c r="N26" s="6">
        <v>4700</v>
      </c>
      <c r="O26">
        <v>5000</v>
      </c>
      <c r="P26">
        <v>4800</v>
      </c>
      <c r="Q26">
        <v>4900</v>
      </c>
      <c r="R26">
        <v>4500</v>
      </c>
      <c r="S26">
        <v>4900</v>
      </c>
      <c r="T26">
        <v>4400</v>
      </c>
      <c r="U26">
        <v>4900</v>
      </c>
      <c r="V26">
        <v>4900</v>
      </c>
      <c r="W26">
        <v>4400</v>
      </c>
      <c r="X26">
        <v>4300</v>
      </c>
      <c r="Y26">
        <v>5100</v>
      </c>
      <c r="Z26">
        <v>4900</v>
      </c>
      <c r="AA26">
        <v>4600</v>
      </c>
      <c r="AB26">
        <v>3000</v>
      </c>
      <c r="AC26">
        <v>4700</v>
      </c>
    </row>
    <row r="27" spans="3:37" ht="15" x14ac:dyDescent="0.25">
      <c r="C27" s="1" t="s">
        <v>31</v>
      </c>
      <c r="D27">
        <v>6400</v>
      </c>
      <c r="E27">
        <v>6400</v>
      </c>
      <c r="F27">
        <v>6200</v>
      </c>
      <c r="G27">
        <v>6200</v>
      </c>
      <c r="H27">
        <v>6200</v>
      </c>
      <c r="I27">
        <v>6500</v>
      </c>
      <c r="J27">
        <v>6100</v>
      </c>
      <c r="K27" s="6">
        <v>6500</v>
      </c>
      <c r="L27" s="6">
        <v>6500</v>
      </c>
      <c r="M27" s="6">
        <v>6200</v>
      </c>
      <c r="N27" s="6">
        <v>6400</v>
      </c>
      <c r="O27">
        <v>6400</v>
      </c>
      <c r="P27">
        <v>6300</v>
      </c>
      <c r="Q27">
        <v>6500</v>
      </c>
      <c r="R27">
        <v>6000</v>
      </c>
      <c r="S27">
        <v>5900</v>
      </c>
      <c r="T27">
        <v>6300</v>
      </c>
      <c r="U27">
        <v>5900</v>
      </c>
      <c r="V27">
        <v>6200</v>
      </c>
      <c r="W27">
        <v>6400</v>
      </c>
      <c r="X27">
        <v>5800</v>
      </c>
      <c r="Y27">
        <v>6200</v>
      </c>
      <c r="Z27">
        <v>5900</v>
      </c>
      <c r="AA27">
        <v>6400</v>
      </c>
      <c r="AB27">
        <v>6000</v>
      </c>
      <c r="AC27">
        <v>5800</v>
      </c>
    </row>
    <row r="28" spans="3:37" s="6" customFormat="1" ht="15" x14ac:dyDescent="0.25">
      <c r="C28" s="1" t="s">
        <v>24</v>
      </c>
      <c r="D28" s="6">
        <f t="shared" ref="D28:AC28" si="26">(D22-D21)/D22*100</f>
        <v>7.3428543979858567</v>
      </c>
      <c r="E28" s="6">
        <f t="shared" si="26"/>
        <v>6.8581066184170609</v>
      </c>
      <c r="F28" s="6">
        <f t="shared" si="26"/>
        <v>5.0315780180081395</v>
      </c>
      <c r="G28" s="6">
        <f t="shared" si="26"/>
        <v>5.6082534482644189</v>
      </c>
      <c r="H28" s="6">
        <f t="shared" si="26"/>
        <v>3.2805512948279061</v>
      </c>
      <c r="I28" s="6">
        <f t="shared" si="26"/>
        <v>1.5219754724749628</v>
      </c>
      <c r="J28" s="6">
        <f t="shared" si="26"/>
        <v>2.5255005975848466</v>
      </c>
      <c r="K28" s="6">
        <f t="shared" si="26"/>
        <v>2.8092926256238191</v>
      </c>
      <c r="L28" s="6">
        <f t="shared" si="26"/>
        <v>4.4601483440024756</v>
      </c>
      <c r="M28" s="6">
        <f t="shared" si="26"/>
        <v>0.14830540385590593</v>
      </c>
      <c r="N28" s="6">
        <f t="shared" si="26"/>
        <v>0.9364680472056417</v>
      </c>
      <c r="O28" s="6">
        <f t="shared" si="26"/>
        <v>-4.5104482860486312</v>
      </c>
      <c r="P28" s="6">
        <f t="shared" si="26"/>
        <v>-5.2195251751803724</v>
      </c>
      <c r="Q28" s="6">
        <f t="shared" si="26"/>
        <v>-5.1022770408010452</v>
      </c>
      <c r="R28" s="6">
        <f t="shared" si="26"/>
        <v>-1.318779948930648</v>
      </c>
      <c r="S28" s="6">
        <f t="shared" si="26"/>
        <v>-4.526796959252481</v>
      </c>
      <c r="T28" s="6">
        <f t="shared" si="26"/>
        <v>-3.5318436022722777</v>
      </c>
      <c r="U28" s="6">
        <f t="shared" si="26"/>
        <v>1.7782938318080181</v>
      </c>
      <c r="V28" s="6">
        <f t="shared" si="26"/>
        <v>-5.5702496114079967</v>
      </c>
      <c r="W28" s="6">
        <f t="shared" si="26"/>
        <v>-6.2058168661625164</v>
      </c>
      <c r="X28" s="6">
        <f t="shared" si="26"/>
        <v>-2.4208941540939137</v>
      </c>
      <c r="Y28" s="6">
        <f t="shared" si="26"/>
        <v>-5.2261681060232394</v>
      </c>
      <c r="Z28" s="6">
        <f t="shared" si="26"/>
        <v>-14.997886638512847</v>
      </c>
      <c r="AA28" s="6">
        <f t="shared" si="26"/>
        <v>-35.986271310180854</v>
      </c>
      <c r="AB28" s="6">
        <f t="shared" si="26"/>
        <v>-17.229804106163481</v>
      </c>
      <c r="AC28" s="6">
        <f t="shared" si="26"/>
        <v>-36.180400430303898</v>
      </c>
      <c r="AD28"/>
      <c r="AE28"/>
      <c r="AF28"/>
      <c r="AG28"/>
      <c r="AH28"/>
      <c r="AI28"/>
      <c r="AJ28"/>
      <c r="AK28"/>
    </row>
    <row r="29" spans="3:37" s="6" customFormat="1" ht="15" x14ac:dyDescent="0.25">
      <c r="C29" s="1" t="s">
        <v>25</v>
      </c>
      <c r="D29" s="6">
        <f t="shared" ref="D29:AC29" si="27">(D23-D19)/D23*100</f>
        <v>12.039676504243467</v>
      </c>
      <c r="E29" s="6">
        <f t="shared" si="27"/>
        <v>3.4476613868961725</v>
      </c>
      <c r="F29" s="6">
        <f t="shared" si="27"/>
        <v>3.1245130966412265</v>
      </c>
      <c r="G29" s="6">
        <f t="shared" si="27"/>
        <v>7.3780750563952697</v>
      </c>
      <c r="H29" s="6">
        <f t="shared" si="27"/>
        <v>2.4987522166247023</v>
      </c>
      <c r="I29" s="6">
        <f t="shared" si="27"/>
        <v>6.4892512350094922</v>
      </c>
      <c r="J29" s="6">
        <f t="shared" si="27"/>
        <v>-9.9930427022905458E-2</v>
      </c>
      <c r="K29" s="6">
        <f t="shared" si="27"/>
        <v>-0.45249626418032768</v>
      </c>
      <c r="L29" s="6">
        <f t="shared" si="27"/>
        <v>13.047988741218655</v>
      </c>
      <c r="M29" s="6">
        <f t="shared" si="27"/>
        <v>0.7761232085795845</v>
      </c>
      <c r="N29" s="6">
        <f t="shared" si="27"/>
        <v>-3.1434049884956003</v>
      </c>
      <c r="O29" s="6">
        <f t="shared" si="27"/>
        <v>-3.3603974450483123</v>
      </c>
      <c r="P29" s="6">
        <f t="shared" si="27"/>
        <v>-6.1964409929642024</v>
      </c>
      <c r="Q29" s="6">
        <f t="shared" si="27"/>
        <v>-6.1079659798197863</v>
      </c>
      <c r="R29" s="6">
        <f t="shared" si="27"/>
        <v>-3.2716965318995839</v>
      </c>
      <c r="S29" s="6">
        <f t="shared" si="27"/>
        <v>-8.7625581119104563</v>
      </c>
      <c r="T29" s="6">
        <f t="shared" si="27"/>
        <v>-2.6910628841650532</v>
      </c>
      <c r="U29" s="6">
        <f t="shared" si="27"/>
        <v>-4.6550373175881115</v>
      </c>
      <c r="V29" s="6">
        <f t="shared" si="27"/>
        <v>-9.8148796210088136</v>
      </c>
      <c r="W29" s="6">
        <f t="shared" si="27"/>
        <v>-6.6034030434719542</v>
      </c>
      <c r="X29" s="6">
        <f t="shared" si="27"/>
        <v>-12.479395293890482</v>
      </c>
      <c r="Y29" s="6">
        <f t="shared" si="27"/>
        <v>-8.7310574897669557</v>
      </c>
      <c r="Z29" s="6">
        <f t="shared" si="27"/>
        <v>-22.555905078577503</v>
      </c>
      <c r="AA29" s="6">
        <f t="shared" si="27"/>
        <v>-30.365419379285129</v>
      </c>
      <c r="AB29" s="6">
        <f t="shared" si="27"/>
        <v>-48.575415177966683</v>
      </c>
      <c r="AC29" s="6">
        <f t="shared" si="27"/>
        <v>-47.249494742658214</v>
      </c>
      <c r="AD29"/>
      <c r="AE29"/>
      <c r="AF29"/>
      <c r="AG29"/>
      <c r="AH29"/>
      <c r="AI29"/>
      <c r="AJ29"/>
      <c r="AK29"/>
    </row>
    <row r="30" spans="3:37" s="6" customFormat="1" ht="15" x14ac:dyDescent="0.25">
      <c r="C30" s="1" t="s">
        <v>32</v>
      </c>
      <c r="D30" s="6">
        <f>(D24-D17)/D24*100</f>
        <v>7.3428543979858558</v>
      </c>
      <c r="E30" s="6">
        <f t="shared" ref="E30:G30" si="28">(E24-E17)/E24*100</f>
        <v>6.858106618417052</v>
      </c>
      <c r="F30" s="6">
        <f t="shared" si="28"/>
        <v>5.0315780180081395</v>
      </c>
      <c r="G30" s="6">
        <f t="shared" si="28"/>
        <v>5.6082534482644233</v>
      </c>
      <c r="H30" s="6">
        <f t="shared" ref="H30:I30" si="29">(H24-H17)/H24*100</f>
        <v>3.2805512948279012</v>
      </c>
      <c r="I30" s="6">
        <f t="shared" si="29"/>
        <v>1.5219754724749575</v>
      </c>
      <c r="J30" s="6">
        <f t="shared" ref="J30:K30" si="30">(J24-J17)/J24*100</f>
        <v>2.525500597584847</v>
      </c>
      <c r="K30" s="6">
        <f t="shared" si="30"/>
        <v>2.8092926256238115</v>
      </c>
      <c r="L30" s="6">
        <f t="shared" ref="L30:M30" si="31">(L24-L17)/L24*100</f>
        <v>4.4601483440024836</v>
      </c>
      <c r="M30" s="6">
        <f t="shared" si="31"/>
        <v>0.14830540385590879</v>
      </c>
      <c r="N30" s="6">
        <f t="shared" ref="N30:O30" si="32">(N24-N17)/N24*100</f>
        <v>0.93646804720564736</v>
      </c>
      <c r="O30" s="6">
        <f t="shared" si="32"/>
        <v>-4.5104482860486188</v>
      </c>
      <c r="P30" s="6">
        <f t="shared" ref="P30:Q30" si="33">(P24-P17)/P24*100</f>
        <v>-5.2195251751803706</v>
      </c>
      <c r="Q30" s="6">
        <f t="shared" si="33"/>
        <v>-5.1022770408010416</v>
      </c>
      <c r="R30" s="6">
        <f t="shared" ref="R30:S30" si="34">(R24-R17)/R24*100</f>
        <v>-1.31877994893065</v>
      </c>
      <c r="S30" s="6">
        <f t="shared" si="34"/>
        <v>-4.5267969592524731</v>
      </c>
      <c r="T30" s="6">
        <f t="shared" ref="T30:U30" si="35">(T24-T17)/T24*100</f>
        <v>-3.531843602272279</v>
      </c>
      <c r="U30" s="6">
        <f t="shared" si="35"/>
        <v>1.7782938318080266</v>
      </c>
      <c r="V30" s="6">
        <f t="shared" ref="V30:W30" si="36">(V24-V17)/V24*100</f>
        <v>-5.5702496114079914</v>
      </c>
      <c r="W30" s="6">
        <f t="shared" si="36"/>
        <v>-6.205816866162519</v>
      </c>
      <c r="X30" s="6">
        <f t="shared" ref="X30:Y30" si="37">(X24-X17)/X24*100</f>
        <v>-2.420894154093916</v>
      </c>
      <c r="Y30" s="6">
        <f t="shared" si="37"/>
        <v>-5.2261681060232537</v>
      </c>
      <c r="Z30" s="6">
        <f t="shared" ref="Z30:AA30" si="38">(Z24-Z17)/Z24*100</f>
        <v>-14.997886638512844</v>
      </c>
      <c r="AA30" s="6">
        <f t="shared" si="38"/>
        <v>-35.98627131018084</v>
      </c>
      <c r="AB30" s="6">
        <f t="shared" ref="AB30:AC30" si="39">(AB24-AB17)/AB24*100</f>
        <v>-17.229804106163492</v>
      </c>
      <c r="AC30" s="6">
        <f t="shared" si="39"/>
        <v>-36.180400430303891</v>
      </c>
      <c r="AD30"/>
      <c r="AE30"/>
      <c r="AF30"/>
      <c r="AG30"/>
      <c r="AH30"/>
      <c r="AI30"/>
      <c r="AJ30"/>
      <c r="AK30"/>
    </row>
    <row r="31" spans="3:37" s="6" customFormat="1" ht="15" x14ac:dyDescent="0.25">
      <c r="C31" s="1" t="s">
        <v>33</v>
      </c>
      <c r="D31" s="6">
        <f>(D25-D15)/D25*100</f>
        <v>12.039676504243475</v>
      </c>
      <c r="E31" s="6">
        <f t="shared" ref="E31:G31" si="40">(E25-E15)/E25*100</f>
        <v>3.4476613868961716</v>
      </c>
      <c r="F31" s="6">
        <f t="shared" si="40"/>
        <v>3.1245130966412309</v>
      </c>
      <c r="G31" s="6">
        <f t="shared" si="40"/>
        <v>7.3780750563952706</v>
      </c>
      <c r="H31" s="6">
        <f t="shared" ref="H31:I31" si="41">(H25-H15)/H25*100</f>
        <v>2.4987522166246934</v>
      </c>
      <c r="I31" s="6">
        <f t="shared" si="41"/>
        <v>6.4892512350094851</v>
      </c>
      <c r="J31" s="6">
        <f t="shared" ref="J31:K31" si="42">(J25-J15)/J25*100</f>
        <v>-9.9930427022900184E-2</v>
      </c>
      <c r="K31" s="6">
        <f t="shared" si="42"/>
        <v>-0.45249626418033895</v>
      </c>
      <c r="L31" s="6">
        <f t="shared" ref="L31:M31" si="43">(L25-L15)/L25*100</f>
        <v>13.047988741218649</v>
      </c>
      <c r="M31" s="6">
        <f t="shared" si="43"/>
        <v>0.77612320857958872</v>
      </c>
      <c r="N31" s="6">
        <f t="shared" ref="N31:O31" si="44">(N25-N15)/N25*100</f>
        <v>-3.1434049884955941</v>
      </c>
      <c r="O31" s="6">
        <f t="shared" si="44"/>
        <v>-3.3603974450483229</v>
      </c>
      <c r="P31" s="6">
        <f t="shared" ref="P31:Q31" si="45">(P25-P15)/P25*100</f>
        <v>-6.1964409929641997</v>
      </c>
      <c r="Q31" s="6">
        <f t="shared" si="45"/>
        <v>-6.1079659798197854</v>
      </c>
      <c r="R31" s="6">
        <f t="shared" ref="R31:S31" si="46">(R25-R15)/R25*100</f>
        <v>-3.2716965318995781</v>
      </c>
      <c r="S31" s="6">
        <f t="shared" si="46"/>
        <v>-8.7625581119104492</v>
      </c>
      <c r="T31" s="6">
        <f t="shared" ref="T31:U31" si="47">(T25-T15)/T25*100</f>
        <v>-2.6910628841650559</v>
      </c>
      <c r="U31" s="6">
        <f t="shared" si="47"/>
        <v>-4.655037317588115</v>
      </c>
      <c r="V31" s="6">
        <f t="shared" ref="V31:W31" si="48">(V25-V15)/V25*100</f>
        <v>-9.8148796210088136</v>
      </c>
      <c r="W31" s="6">
        <f t="shared" si="48"/>
        <v>-6.6034030434719559</v>
      </c>
      <c r="X31" s="6">
        <f t="shared" ref="X31:Y31" si="49">(X25-X15)/X25*100</f>
        <v>-12.479395293890478</v>
      </c>
      <c r="Y31" s="6">
        <f t="shared" si="49"/>
        <v>-8.7310574897669433</v>
      </c>
      <c r="Z31" s="6">
        <f t="shared" ref="Z31:AA31" si="50">(Z25-Z15)/Z25*100</f>
        <v>-22.555905078577513</v>
      </c>
      <c r="AA31" s="6">
        <f t="shared" si="50"/>
        <v>-30.365419379285129</v>
      </c>
      <c r="AB31" s="6">
        <f t="shared" ref="AB31:AC31" si="51">(AB25-AB15)/AB25*100</f>
        <v>-48.575415177966676</v>
      </c>
      <c r="AC31" s="6">
        <f t="shared" si="51"/>
        <v>-47.249494742658214</v>
      </c>
      <c r="AD31"/>
      <c r="AE31"/>
      <c r="AF31"/>
      <c r="AG31"/>
      <c r="AH31"/>
      <c r="AI31"/>
      <c r="AJ31"/>
      <c r="AK31"/>
    </row>
    <row r="32" spans="3:37" ht="15" x14ac:dyDescent="0.25">
      <c r="C32" s="1" t="s">
        <v>34</v>
      </c>
      <c r="D32">
        <f>(D26-D13)/D26*100</f>
        <v>-3.9652081061456825</v>
      </c>
      <c r="E32">
        <f t="shared" ref="E32:G32" si="52">(E26-E13)/E26*100</f>
        <v>2.2787271617934679</v>
      </c>
      <c r="F32">
        <f t="shared" si="52"/>
        <v>-1.8769805781863245</v>
      </c>
      <c r="G32">
        <f t="shared" si="52"/>
        <v>0.86929323237628919</v>
      </c>
      <c r="H32">
        <f t="shared" ref="H32:I32" si="53">(H26-H13)/H26*100</f>
        <v>-1.9273167819500261</v>
      </c>
      <c r="I32">
        <f t="shared" si="53"/>
        <v>9.5811301742809754</v>
      </c>
      <c r="J32">
        <f t="shared" ref="J32:K32" si="54">(J26-J13)/J26*100</f>
        <v>-3.1273255103942383</v>
      </c>
      <c r="K32" s="6">
        <f t="shared" si="54"/>
        <v>2.2181068633026553</v>
      </c>
      <c r="L32" s="6">
        <f t="shared" ref="L32:M32" si="55">(L26-L13)/L26*100</f>
        <v>19.648543707150505</v>
      </c>
      <c r="M32" s="6">
        <f t="shared" si="55"/>
        <v>-9.6619959234811509E-2</v>
      </c>
      <c r="N32" s="6">
        <f t="shared" ref="N32:O32" si="56">(N26-N13)/N26*100</f>
        <v>-3.6443155249794379</v>
      </c>
      <c r="O32">
        <f t="shared" si="56"/>
        <v>1.9208774948014071</v>
      </c>
      <c r="P32">
        <f t="shared" ref="P32:Q32" si="57">(P26-P13)/P26*100</f>
        <v>-0.87555496767508134</v>
      </c>
      <c r="Q32">
        <f t="shared" si="57"/>
        <v>11.326914662473724</v>
      </c>
      <c r="R32">
        <f t="shared" ref="R32:S32" si="58">(R26-R13)/R26*100</f>
        <v>-9.5304970847886992</v>
      </c>
      <c r="S32">
        <f t="shared" si="58"/>
        <v>1.1436983823346334</v>
      </c>
      <c r="T32">
        <f t="shared" ref="T32:U32" si="59">(T26-T13)/T26*100</f>
        <v>0.5438646607180585</v>
      </c>
      <c r="U32">
        <f t="shared" si="59"/>
        <v>11.871300675168474</v>
      </c>
      <c r="V32">
        <f t="shared" ref="V32:W32" si="60">(V26-V13)/V26*100</f>
        <v>8.0187506522949606E-2</v>
      </c>
      <c r="W32">
        <f t="shared" si="60"/>
        <v>-9.7093254543193659</v>
      </c>
      <c r="X32">
        <f t="shared" ref="X32:Y32" si="61">(X26-X13)/X26*100</f>
        <v>-14.891741908485296</v>
      </c>
      <c r="Y32">
        <f t="shared" si="61"/>
        <v>4.6320386312365516</v>
      </c>
      <c r="Z32">
        <f t="shared" ref="Z32:AA32" si="62">(Z26-Z13)/Z26*100</f>
        <v>0.77929799076841566</v>
      </c>
      <c r="AA32">
        <f t="shared" si="62"/>
        <v>-5.8391298152812094</v>
      </c>
      <c r="AB32">
        <f t="shared" ref="AB32:AC32" si="63">(AB26-AB13)/AB26*100</f>
        <v>-42.46151732515461</v>
      </c>
      <c r="AC32">
        <f t="shared" si="63"/>
        <v>7.1290707941431926</v>
      </c>
    </row>
    <row r="33" spans="3:29" ht="18" customHeight="1" x14ac:dyDescent="0.25">
      <c r="C33" s="4" t="s">
        <v>35</v>
      </c>
      <c r="D33">
        <f>(D27-D12)/D27*100</f>
        <v>1.7286752970492643</v>
      </c>
      <c r="E33">
        <f t="shared" ref="E33:G33" si="64">(E27-E12)/E27*100</f>
        <v>1.7333805951511465</v>
      </c>
      <c r="F33">
        <f t="shared" si="64"/>
        <v>-1.5015333508539288</v>
      </c>
      <c r="G33">
        <f t="shared" si="64"/>
        <v>-0.97426825183164256</v>
      </c>
      <c r="H33">
        <f t="shared" ref="H33:I33" si="65">(H27-H12)/H27*100</f>
        <v>-1.5405033150580845</v>
      </c>
      <c r="I33">
        <f t="shared" si="65"/>
        <v>3.2981696832488105</v>
      </c>
      <c r="J33">
        <f t="shared" ref="J33:K33" si="66">(J27-J12)/J27*100</f>
        <v>-2.4587589998119537</v>
      </c>
      <c r="K33" s="6">
        <f t="shared" si="66"/>
        <v>3.1985437410020428</v>
      </c>
      <c r="L33" s="6">
        <f t="shared" ref="L33:M33" si="67">(L27-L12)/L27*100</f>
        <v>1.7724570745127912</v>
      </c>
      <c r="M33" s="6">
        <f t="shared" si="67"/>
        <v>-1.7376512581049317</v>
      </c>
      <c r="N33" s="6">
        <f t="shared" ref="N33:O33" si="68">(N27-N12)/N27*100</f>
        <v>1.9643307863432256</v>
      </c>
      <c r="O33">
        <f t="shared" si="68"/>
        <v>1.4538105428135992</v>
      </c>
      <c r="P33">
        <f t="shared" ref="P33:Q33" si="69">(P27-P12)/P27*100</f>
        <v>0.87259304050152542</v>
      </c>
      <c r="Q33">
        <f t="shared" si="69"/>
        <v>5.2310587455571156</v>
      </c>
      <c r="R33">
        <f t="shared" ref="R33:S33" si="70">(R27-R12)/R27*100</f>
        <v>-5.5312061469248572</v>
      </c>
      <c r="S33">
        <f t="shared" si="70"/>
        <v>-5.8806572756881854</v>
      </c>
      <c r="T33">
        <f t="shared" ref="T33:U33" si="71">(T27-T12)/T27*100</f>
        <v>1.7290483344697551</v>
      </c>
      <c r="U33">
        <f t="shared" si="71"/>
        <v>-3.9543435070634709</v>
      </c>
      <c r="V33">
        <f t="shared" ref="V33:W33" si="72">(V27-V12)/V27*100</f>
        <v>-1.5979163254899269</v>
      </c>
      <c r="W33">
        <f t="shared" si="72"/>
        <v>2.6529637501554362</v>
      </c>
      <c r="X33">
        <f t="shared" ref="X33:Y33" si="73">(X27-X12)/X27*100</f>
        <v>-9.3680155528425466</v>
      </c>
      <c r="Y33">
        <f t="shared" si="73"/>
        <v>-1.0768714484989659</v>
      </c>
      <c r="Z33">
        <f t="shared" ref="Z33:AA33" si="74">(Z27-Z12)/Z27*100</f>
        <v>-6.1832948890228412</v>
      </c>
      <c r="AA33">
        <f t="shared" si="74"/>
        <v>2.0062504452666303</v>
      </c>
      <c r="AB33">
        <f t="shared" ref="AB33:AC33" si="75">(AB27-AB12)/AB27*100</f>
        <v>-1.4807586625773033</v>
      </c>
      <c r="AC33">
        <f t="shared" si="75"/>
        <v>-6.5505805633667231</v>
      </c>
    </row>
    <row r="34" spans="3:29" ht="30" x14ac:dyDescent="0.25">
      <c r="C34" s="7" t="s">
        <v>60</v>
      </c>
      <c r="D34" s="5">
        <v>2512.5</v>
      </c>
      <c r="E34" s="5">
        <v>2492.3000000000002</v>
      </c>
      <c r="F34" s="5">
        <v>2442.5</v>
      </c>
      <c r="G34" s="5">
        <v>2394.9</v>
      </c>
      <c r="H34" s="5">
        <v>2335.6</v>
      </c>
      <c r="I34" s="5">
        <v>2314</v>
      </c>
      <c r="J34" s="5">
        <v>2311.1</v>
      </c>
      <c r="K34" s="5">
        <v>2296.1999999999998</v>
      </c>
      <c r="L34" s="5">
        <v>2281.1</v>
      </c>
      <c r="M34" s="5">
        <v>2260</v>
      </c>
      <c r="N34" s="5">
        <v>2232.6999999999998</v>
      </c>
      <c r="O34" s="5">
        <v>2216</v>
      </c>
      <c r="P34" s="5">
        <v>2215.5</v>
      </c>
      <c r="Q34" s="5">
        <v>2205.6999999999998</v>
      </c>
      <c r="R34" s="5">
        <v>2194.6</v>
      </c>
      <c r="S34" s="5">
        <v>2190.1</v>
      </c>
      <c r="T34" s="5">
        <v>2189.1</v>
      </c>
      <c r="U34" s="5">
        <v>2179.5</v>
      </c>
      <c r="V34" s="5">
        <v>2174.1999999999998</v>
      </c>
      <c r="W34" s="5">
        <v>2138.1</v>
      </c>
      <c r="X34" s="5">
        <v>2111.1</v>
      </c>
      <c r="Y34" s="5">
        <v>2110.8000000000002</v>
      </c>
      <c r="Z34" s="5">
        <v>2027.3</v>
      </c>
      <c r="AA34" s="5">
        <v>1796.9</v>
      </c>
      <c r="AB34" s="5">
        <v>1666.1</v>
      </c>
      <c r="AC34" s="5">
        <v>1506.1</v>
      </c>
    </row>
    <row r="35" spans="3:29" ht="15" x14ac:dyDescent="0.25">
      <c r="C35" s="7" t="s">
        <v>59</v>
      </c>
      <c r="D35" s="5">
        <f t="shared" ref="D35:AC35" si="76">(D16+D14)*1000</f>
        <v>2322.8363218364625</v>
      </c>
      <c r="E35" s="5">
        <f t="shared" si="76"/>
        <v>2283.9262330136812</v>
      </c>
      <c r="F35" s="5">
        <f t="shared" si="76"/>
        <v>2324.605260351685</v>
      </c>
      <c r="G35" s="5">
        <f t="shared" si="76"/>
        <v>2287.3821987857964</v>
      </c>
      <c r="H35" s="5">
        <f t="shared" si="76"/>
        <v>2303.3775916419881</v>
      </c>
      <c r="I35" s="5">
        <f t="shared" si="76"/>
        <v>2304.060432059398</v>
      </c>
      <c r="J35" s="5">
        <f t="shared" si="76"/>
        <v>2254.2730427179104</v>
      </c>
      <c r="K35" s="5">
        <f t="shared" si="76"/>
        <v>2285.6639772981139</v>
      </c>
      <c r="L35" s="5">
        <f t="shared" si="76"/>
        <v>2263.3916943054628</v>
      </c>
      <c r="M35" s="5">
        <f t="shared" si="76"/>
        <v>2248.2659167503548</v>
      </c>
      <c r="N35" s="5">
        <f t="shared" si="76"/>
        <v>2313.0095412941696</v>
      </c>
      <c r="O35" s="5">
        <f t="shared" si="76"/>
        <v>2276.6064859541279</v>
      </c>
      <c r="P35" s="5">
        <f t="shared" si="76"/>
        <v>2319.8833884625546</v>
      </c>
      <c r="Q35" s="5">
        <f t="shared" si="76"/>
        <v>2313.0090081661679</v>
      </c>
      <c r="R35" s="5">
        <f t="shared" si="76"/>
        <v>2191.7453162736224</v>
      </c>
      <c r="S35" s="5">
        <f t="shared" si="76"/>
        <v>2219.7233715683333</v>
      </c>
      <c r="T35" s="5">
        <f t="shared" si="76"/>
        <v>2231.775631648974</v>
      </c>
      <c r="U35" s="5">
        <f t="shared" si="76"/>
        <v>2201.2633976200295</v>
      </c>
      <c r="V35" s="5">
        <f t="shared" si="76"/>
        <v>2270.0616951876932</v>
      </c>
      <c r="W35" s="5">
        <f t="shared" si="76"/>
        <v>2240.2806855840954</v>
      </c>
      <c r="X35" s="5">
        <f t="shared" si="76"/>
        <v>2198.5895337838178</v>
      </c>
      <c r="Y35" s="5">
        <f t="shared" si="76"/>
        <v>2292.9444849632905</v>
      </c>
      <c r="Z35" s="5">
        <f t="shared" si="76"/>
        <v>2324.0562908102074</v>
      </c>
      <c r="AA35" s="5">
        <f t="shared" si="76"/>
        <v>2329.7993531578954</v>
      </c>
      <c r="AB35" s="5">
        <f t="shared" si="76"/>
        <v>2097.8322351842176</v>
      </c>
      <c r="AC35" s="5">
        <f t="shared" si="76"/>
        <v>2114.6783758241359</v>
      </c>
    </row>
    <row r="36" spans="3:29" ht="30" x14ac:dyDescent="0.25">
      <c r="C36" s="7" t="s">
        <v>61</v>
      </c>
      <c r="D36" s="5">
        <f>(D35-D34)/D34*100</f>
        <v>-7.548803110986567</v>
      </c>
      <c r="E36" s="5">
        <f t="shared" ref="E36:AC36" si="77">(E35-E34)/E34*100</f>
        <v>-8.3607016405055141</v>
      </c>
      <c r="F36" s="5">
        <f t="shared" si="77"/>
        <v>-4.8268061268501512</v>
      </c>
      <c r="G36" s="5">
        <f t="shared" si="77"/>
        <v>-4.4894484619067061</v>
      </c>
      <c r="H36" s="5">
        <f t="shared" si="77"/>
        <v>-1.3796201557634769</v>
      </c>
      <c r="I36" s="5">
        <f t="shared" si="77"/>
        <v>-0.42954053330173059</v>
      </c>
      <c r="J36" s="5">
        <f t="shared" si="77"/>
        <v>-2.4588705500449808</v>
      </c>
      <c r="K36" s="5">
        <f t="shared" si="77"/>
        <v>-0.45884603701271409</v>
      </c>
      <c r="L36" s="5">
        <f t="shared" si="77"/>
        <v>-0.7763055409467845</v>
      </c>
      <c r="M36" s="5">
        <f t="shared" si="77"/>
        <v>-0.51920722343562875</v>
      </c>
      <c r="N36" s="5">
        <f t="shared" si="77"/>
        <v>3.5969696463550762</v>
      </c>
      <c r="O36" s="5">
        <f t="shared" si="77"/>
        <v>2.7349497271718386</v>
      </c>
      <c r="P36" s="5">
        <f t="shared" si="77"/>
        <v>4.7115047827828773</v>
      </c>
      <c r="Q36" s="5">
        <f t="shared" si="77"/>
        <v>4.865077216582856</v>
      </c>
      <c r="R36" s="5">
        <f t="shared" si="77"/>
        <v>-0.130077632660964</v>
      </c>
      <c r="S36" s="5">
        <f t="shared" si="77"/>
        <v>1.3526036056953274</v>
      </c>
      <c r="T36" s="5">
        <f t="shared" si="77"/>
        <v>1.9494601274027732</v>
      </c>
      <c r="U36" s="5">
        <f t="shared" si="77"/>
        <v>0.99855001697772594</v>
      </c>
      <c r="V36" s="5">
        <f t="shared" si="77"/>
        <v>4.4090559832441079</v>
      </c>
      <c r="W36" s="5">
        <f t="shared" si="77"/>
        <v>4.7790414659789304</v>
      </c>
      <c r="X36" s="5">
        <f t="shared" si="77"/>
        <v>4.1442628858802486</v>
      </c>
      <c r="Y36" s="5">
        <f t="shared" si="77"/>
        <v>8.6291683230666241</v>
      </c>
      <c r="Z36" s="5">
        <f t="shared" si="77"/>
        <v>14.638005761860972</v>
      </c>
      <c r="AA36" s="5">
        <f t="shared" si="77"/>
        <v>29.656594866597768</v>
      </c>
      <c r="AB36" s="5">
        <f t="shared" si="77"/>
        <v>25.912744444164076</v>
      </c>
      <c r="AC36" s="5">
        <f t="shared" si="77"/>
        <v>40.407567613314924</v>
      </c>
    </row>
    <row r="37" spans="3:29" ht="15" x14ac:dyDescent="0.25">
      <c r="K37"/>
      <c r="L37"/>
      <c r="M37"/>
      <c r="N37"/>
    </row>
    <row r="38" spans="3:29" s="6" customFormat="1" ht="15" x14ac:dyDescent="0.25"/>
    <row r="41" spans="3:29" ht="15" x14ac:dyDescent="0.25">
      <c r="K41"/>
      <c r="L41"/>
      <c r="M41"/>
      <c r="N41"/>
    </row>
    <row r="42" spans="3:29" ht="15" x14ac:dyDescent="0.25">
      <c r="K42"/>
      <c r="L42"/>
      <c r="M42"/>
      <c r="N42"/>
    </row>
    <row r="43" spans="3:29" x14ac:dyDescent="0.3">
      <c r="K43"/>
      <c r="L43"/>
      <c r="M43"/>
      <c r="N43"/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365760</xdr:colOff>
                    <xdr:row>1</xdr:row>
                    <xdr:rowOff>182880</xdr:rowOff>
                  </from>
                  <to>
                    <xdr:col>1</xdr:col>
                    <xdr:colOff>449580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40"/>
  <sheetViews>
    <sheetView workbookViewId="0">
      <selection activeCell="M22" sqref="M22"/>
    </sheetView>
  </sheetViews>
  <sheetFormatPr defaultRowHeight="14.4" x14ac:dyDescent="0.3"/>
  <cols>
    <col min="1" max="1" width="10.5546875" customWidth="1"/>
    <col min="2" max="2" width="10.109375" customWidth="1"/>
  </cols>
  <sheetData>
    <row r="1" spans="1:27" ht="30" x14ac:dyDescent="0.25">
      <c r="A1" s="1" t="s">
        <v>24</v>
      </c>
      <c r="B1" s="6">
        <v>7.3428543979858567</v>
      </c>
      <c r="C1" s="6">
        <v>6.8581066184170609</v>
      </c>
      <c r="D1" s="6">
        <v>5.0315780180081395</v>
      </c>
      <c r="E1" s="6">
        <v>5.6082534482644189</v>
      </c>
      <c r="F1" s="6">
        <v>3.2805512948279061</v>
      </c>
      <c r="G1" s="6">
        <v>1.5219754724749628</v>
      </c>
      <c r="H1" s="6">
        <v>2.5255005975848466</v>
      </c>
      <c r="I1" s="6">
        <v>2.8092926256238191</v>
      </c>
      <c r="J1" s="6">
        <v>4.4601483440024756</v>
      </c>
      <c r="K1" s="6">
        <v>0.14830540385590593</v>
      </c>
      <c r="L1" s="6">
        <v>0.9364680472056417</v>
      </c>
      <c r="M1" s="6">
        <v>-4.5104482860486312</v>
      </c>
      <c r="N1" s="6">
        <v>-5.2195251751803724</v>
      </c>
      <c r="O1" s="6">
        <v>-5.1022770408010452</v>
      </c>
      <c r="P1" s="6">
        <v>-1.318779948930648</v>
      </c>
      <c r="Q1" s="6">
        <v>-4.526796959252481</v>
      </c>
      <c r="R1" s="6">
        <v>-3.5318436022722777</v>
      </c>
      <c r="S1" s="6">
        <v>1.7782938318080181</v>
      </c>
      <c r="T1" s="6">
        <v>-5.5702496114079967</v>
      </c>
      <c r="U1" s="6">
        <v>-6.2058168661625164</v>
      </c>
      <c r="V1" s="6">
        <v>-2.4208941540939137</v>
      </c>
      <c r="W1" s="6">
        <v>-5.2261681060232394</v>
      </c>
      <c r="X1" s="6">
        <v>-14.997886638512847</v>
      </c>
      <c r="Y1" s="6">
        <v>-35.986271310180854</v>
      </c>
      <c r="Z1" s="6">
        <v>-17.229804106163481</v>
      </c>
      <c r="AA1" s="6">
        <v>-36.180400430303898</v>
      </c>
    </row>
    <row r="2" spans="1:27" ht="30" x14ac:dyDescent="0.25">
      <c r="A2" s="1" t="s">
        <v>25</v>
      </c>
      <c r="B2" s="6">
        <v>12.039676504243467</v>
      </c>
      <c r="C2" s="6">
        <v>3.4476613868961725</v>
      </c>
      <c r="D2" s="6">
        <v>3.1245130966412265</v>
      </c>
      <c r="E2" s="6">
        <v>7.3780750563952697</v>
      </c>
      <c r="F2" s="6">
        <v>2.4987522166247023</v>
      </c>
      <c r="G2" s="6">
        <v>6.4892512350094922</v>
      </c>
      <c r="H2" s="6">
        <v>-9.9930427022905458E-2</v>
      </c>
      <c r="I2" s="6">
        <v>-0.45249626418032768</v>
      </c>
      <c r="J2" s="6">
        <v>13.047988741218655</v>
      </c>
      <c r="K2" s="6">
        <v>0.7761232085795845</v>
      </c>
      <c r="L2" s="6">
        <v>-3.1434049884956003</v>
      </c>
      <c r="M2" s="6">
        <v>-3.3603974450483123</v>
      </c>
      <c r="N2" s="6">
        <v>-6.1964409929642024</v>
      </c>
      <c r="O2" s="6">
        <v>-6.1079659798197863</v>
      </c>
      <c r="P2" s="6">
        <v>-3.2716965318995839</v>
      </c>
      <c r="Q2" s="6">
        <v>-8.7625581119104563</v>
      </c>
      <c r="R2" s="6">
        <v>-2.6910628841650532</v>
      </c>
      <c r="S2" s="6">
        <v>-4.6550373175881115</v>
      </c>
      <c r="T2" s="6">
        <v>-9.8148796210088136</v>
      </c>
      <c r="U2" s="6">
        <v>-6.6034030434719542</v>
      </c>
      <c r="V2" s="6">
        <v>-12.479395293890482</v>
      </c>
      <c r="W2" s="6">
        <v>-8.7310574897669557</v>
      </c>
      <c r="X2" s="6">
        <v>-22.555905078577503</v>
      </c>
      <c r="Y2" s="6">
        <v>-30.365419379285129</v>
      </c>
      <c r="Z2" s="6">
        <v>-48.575415177966683</v>
      </c>
      <c r="AA2" s="6">
        <v>-47.249494742658214</v>
      </c>
    </row>
    <row r="3" spans="1:27" ht="30" x14ac:dyDescent="0.25">
      <c r="A3" s="1" t="s">
        <v>32</v>
      </c>
      <c r="B3" s="6">
        <v>7.3428543979858558</v>
      </c>
      <c r="C3" s="6">
        <v>6.858106618417052</v>
      </c>
      <c r="D3" s="6">
        <v>5.0315780180081395</v>
      </c>
      <c r="E3" s="6">
        <v>5.6082534482644233</v>
      </c>
      <c r="F3" s="6">
        <v>3.2805512948279012</v>
      </c>
      <c r="G3" s="6">
        <v>1.5219754724749575</v>
      </c>
      <c r="H3" s="6">
        <v>2.525500597584847</v>
      </c>
      <c r="I3" s="6">
        <v>2.8092926256238115</v>
      </c>
      <c r="J3" s="6">
        <v>4.4601483440024836</v>
      </c>
      <c r="K3" s="6">
        <v>0.14830540385590879</v>
      </c>
      <c r="L3" s="6">
        <v>0.93646804720564736</v>
      </c>
      <c r="M3" s="6">
        <v>-4.5104482860486188</v>
      </c>
      <c r="N3" s="6">
        <v>-5.2195251751803706</v>
      </c>
      <c r="O3" s="6">
        <v>-5.1022770408010416</v>
      </c>
      <c r="P3" s="6">
        <v>-1.31877994893065</v>
      </c>
      <c r="Q3" s="6">
        <v>-4.5267969592524731</v>
      </c>
      <c r="R3" s="6">
        <v>-3.531843602272279</v>
      </c>
      <c r="S3" s="6">
        <v>1.7782938318080266</v>
      </c>
      <c r="T3" s="6">
        <v>-5.5702496114079914</v>
      </c>
      <c r="U3" s="6">
        <v>-6.205816866162519</v>
      </c>
      <c r="V3" s="6">
        <v>-2.420894154093916</v>
      </c>
      <c r="W3" s="6">
        <v>-5.2261681060232537</v>
      </c>
      <c r="X3" s="6">
        <v>-14.997886638512844</v>
      </c>
      <c r="Y3" s="6">
        <v>-35.98627131018084</v>
      </c>
      <c r="Z3" s="6">
        <v>-17.229804106163492</v>
      </c>
      <c r="AA3" s="6">
        <v>-36.180400430303891</v>
      </c>
    </row>
    <row r="4" spans="1:27" ht="30" x14ac:dyDescent="0.25">
      <c r="A4" s="1" t="s">
        <v>33</v>
      </c>
      <c r="B4" s="6">
        <v>12.039676504243475</v>
      </c>
      <c r="C4" s="6">
        <v>3.4476613868961716</v>
      </c>
      <c r="D4" s="6">
        <v>3.1245130966412309</v>
      </c>
      <c r="E4" s="6">
        <v>7.3780750563952706</v>
      </c>
      <c r="F4" s="6">
        <v>2.4987522166246934</v>
      </c>
      <c r="G4" s="6">
        <v>6.4892512350094851</v>
      </c>
      <c r="H4" s="6">
        <v>-9.9930427022900184E-2</v>
      </c>
      <c r="I4" s="6">
        <v>-0.45249626418033895</v>
      </c>
      <c r="J4" s="6">
        <v>13.047988741218649</v>
      </c>
      <c r="K4" s="6">
        <v>0.77612320857958872</v>
      </c>
      <c r="L4" s="6">
        <v>-3.1434049884955941</v>
      </c>
      <c r="M4" s="6">
        <v>-3.3603974450483229</v>
      </c>
      <c r="N4" s="6">
        <v>-6.1964409929641997</v>
      </c>
      <c r="O4" s="6">
        <v>-6.1079659798197854</v>
      </c>
      <c r="P4" s="6">
        <v>-3.2716965318995781</v>
      </c>
      <c r="Q4" s="6">
        <v>-8.7625581119104492</v>
      </c>
      <c r="R4" s="6">
        <v>-2.6910628841650559</v>
      </c>
      <c r="S4" s="6">
        <v>-4.655037317588115</v>
      </c>
      <c r="T4" s="6">
        <v>-9.8148796210088136</v>
      </c>
      <c r="U4" s="6">
        <v>-6.6034030434719559</v>
      </c>
      <c r="V4" s="6">
        <v>-12.479395293890478</v>
      </c>
      <c r="W4" s="6">
        <v>-8.7310574897669433</v>
      </c>
      <c r="X4" s="6">
        <v>-22.555905078577513</v>
      </c>
      <c r="Y4" s="6">
        <v>-30.365419379285129</v>
      </c>
      <c r="Z4" s="6">
        <v>-48.575415177966676</v>
      </c>
      <c r="AA4" s="6">
        <v>-47.249494742658214</v>
      </c>
    </row>
    <row r="5" spans="1:27" ht="30" x14ac:dyDescent="0.25">
      <c r="A5" s="1" t="s">
        <v>34</v>
      </c>
      <c r="B5">
        <v>-3.9652081061456825</v>
      </c>
      <c r="C5">
        <v>2.2787271617934679</v>
      </c>
      <c r="D5">
        <v>-1.8769805781863245</v>
      </c>
      <c r="E5">
        <v>0.86929323237628919</v>
      </c>
      <c r="F5">
        <v>-1.9273167819500261</v>
      </c>
      <c r="G5">
        <v>9.5811301742809754</v>
      </c>
      <c r="H5">
        <v>-3.1273255103942383</v>
      </c>
      <c r="I5" s="6">
        <v>2.2181068633026553</v>
      </c>
      <c r="J5" s="6">
        <v>19.648543707150505</v>
      </c>
      <c r="K5" s="6">
        <v>-9.6619959234811509E-2</v>
      </c>
      <c r="L5" s="6">
        <v>-3.6443155249794379</v>
      </c>
      <c r="M5">
        <v>1.9208774948014071</v>
      </c>
      <c r="N5">
        <v>-0.87555496767508134</v>
      </c>
      <c r="O5">
        <v>11.326914662473724</v>
      </c>
      <c r="P5">
        <v>-9.5304970847886992</v>
      </c>
      <c r="Q5">
        <v>1.1436983823346334</v>
      </c>
      <c r="R5">
        <v>0.5438646607180585</v>
      </c>
      <c r="S5">
        <v>11.871300675168474</v>
      </c>
      <c r="T5">
        <v>8.0187506522949606E-2</v>
      </c>
      <c r="U5">
        <v>-9.7093254543193659</v>
      </c>
      <c r="V5">
        <v>-14.891741908485296</v>
      </c>
      <c r="W5">
        <v>4.6320386312365516</v>
      </c>
      <c r="X5">
        <v>0.77929799076841566</v>
      </c>
      <c r="Y5">
        <v>-5.8391298152812094</v>
      </c>
      <c r="Z5">
        <v>-42.46151732515461</v>
      </c>
      <c r="AA5">
        <v>7.1290707941431926</v>
      </c>
    </row>
    <row r="6" spans="1:27" ht="15" x14ac:dyDescent="0.25">
      <c r="A6" s="4" t="s">
        <v>35</v>
      </c>
      <c r="B6">
        <v>1.7286752970492643</v>
      </c>
      <c r="C6">
        <v>1.7333805951511465</v>
      </c>
      <c r="D6">
        <v>-1.5015333508539288</v>
      </c>
      <c r="E6">
        <v>-0.97426825183164256</v>
      </c>
      <c r="F6">
        <v>-1.5405033150580845</v>
      </c>
      <c r="G6">
        <v>3.2981696832488105</v>
      </c>
      <c r="H6">
        <v>-2.4587589998119537</v>
      </c>
      <c r="I6" s="6">
        <v>3.1985437410020428</v>
      </c>
      <c r="J6" s="6">
        <v>1.7724570745127912</v>
      </c>
      <c r="K6" s="6">
        <v>-1.7376512581049317</v>
      </c>
      <c r="L6" s="6">
        <v>1.9643307863432256</v>
      </c>
      <c r="M6">
        <v>1.4538105428135992</v>
      </c>
      <c r="N6">
        <v>0.87259304050152542</v>
      </c>
      <c r="O6">
        <v>5.2310587455571156</v>
      </c>
      <c r="P6">
        <v>-5.5312061469248572</v>
      </c>
      <c r="Q6">
        <v>-5.8806572756881854</v>
      </c>
      <c r="R6">
        <v>1.7290483344697551</v>
      </c>
      <c r="S6">
        <v>-3.9543435070634709</v>
      </c>
      <c r="T6">
        <v>-1.5979163254899269</v>
      </c>
      <c r="U6">
        <v>2.6529637501554362</v>
      </c>
      <c r="V6">
        <v>-9.3680155528425466</v>
      </c>
      <c r="W6">
        <v>-1.0768714484989659</v>
      </c>
      <c r="X6">
        <v>-6.1832948890228412</v>
      </c>
      <c r="Y6">
        <v>2.0062504452666303</v>
      </c>
      <c r="Z6">
        <v>-1.4807586625773033</v>
      </c>
      <c r="AA6">
        <v>-6.5505805633667231</v>
      </c>
    </row>
    <row r="7" spans="1:27" ht="45" x14ac:dyDescent="0.25">
      <c r="A7" s="7" t="s">
        <v>60</v>
      </c>
      <c r="B7" s="5">
        <v>2512.5</v>
      </c>
      <c r="C7" s="5">
        <v>2492.3000000000002</v>
      </c>
      <c r="D7" s="5">
        <v>2442.5</v>
      </c>
      <c r="E7" s="5">
        <v>2394.9</v>
      </c>
      <c r="F7" s="5">
        <v>2335.6</v>
      </c>
      <c r="G7" s="5">
        <v>2314</v>
      </c>
      <c r="H7" s="5">
        <v>2311.1</v>
      </c>
      <c r="I7" s="5">
        <v>2296.1999999999998</v>
      </c>
      <c r="J7" s="5">
        <v>2281.1</v>
      </c>
      <c r="K7" s="5">
        <v>2260</v>
      </c>
      <c r="L7" s="5">
        <v>2232.6999999999998</v>
      </c>
      <c r="M7" s="5">
        <v>2216</v>
      </c>
      <c r="N7" s="5">
        <v>2215.5</v>
      </c>
      <c r="O7" s="5">
        <v>2205.6999999999998</v>
      </c>
      <c r="P7" s="5">
        <v>2194.6</v>
      </c>
      <c r="Q7" s="5">
        <v>2190.1</v>
      </c>
      <c r="R7" s="5">
        <v>2189.1</v>
      </c>
      <c r="S7" s="5">
        <v>2179.5</v>
      </c>
      <c r="T7" s="5">
        <v>2174.1999999999998</v>
      </c>
      <c r="U7" s="5">
        <v>2138.1</v>
      </c>
      <c r="V7" s="5">
        <v>2111.1</v>
      </c>
      <c r="W7" s="5">
        <v>2110.8000000000002</v>
      </c>
      <c r="X7" s="5">
        <v>2027.3</v>
      </c>
      <c r="Y7" s="5">
        <v>1796.9</v>
      </c>
      <c r="Z7" s="5">
        <v>1666.1</v>
      </c>
      <c r="AA7" s="5">
        <v>1506.1</v>
      </c>
    </row>
    <row r="9" spans="1:27" ht="45" x14ac:dyDescent="0.25">
      <c r="A9" s="7" t="s">
        <v>60</v>
      </c>
      <c r="B9" s="5">
        <v>2512.5</v>
      </c>
      <c r="C9" s="5">
        <v>2492.3000000000002</v>
      </c>
      <c r="D9" s="5">
        <v>2442.5</v>
      </c>
      <c r="E9" s="5">
        <v>2394.9</v>
      </c>
      <c r="F9" s="5">
        <v>2335.6</v>
      </c>
      <c r="G9" s="5">
        <v>2314</v>
      </c>
      <c r="H9" s="5">
        <v>2311.1</v>
      </c>
      <c r="I9" s="5">
        <v>2296.1999999999998</v>
      </c>
      <c r="J9" s="5">
        <v>2281.1</v>
      </c>
      <c r="K9" s="5">
        <v>2260</v>
      </c>
      <c r="L9" s="5">
        <v>2232.6999999999998</v>
      </c>
      <c r="M9" s="5">
        <v>2216</v>
      </c>
      <c r="N9" s="5">
        <v>2215.5</v>
      </c>
      <c r="O9" s="5">
        <v>2205.6999999999998</v>
      </c>
      <c r="P9" s="5">
        <v>2194.6</v>
      </c>
      <c r="Q9" s="5">
        <v>2190.1</v>
      </c>
      <c r="R9" s="5">
        <v>2189.1</v>
      </c>
      <c r="S9" s="5">
        <v>2179.5</v>
      </c>
      <c r="T9" s="5">
        <v>2174.1999999999998</v>
      </c>
      <c r="U9" s="5">
        <v>2138.1</v>
      </c>
      <c r="V9" s="5">
        <v>2111.1</v>
      </c>
      <c r="W9" s="5">
        <v>2110.8000000000002</v>
      </c>
      <c r="X9" s="5">
        <v>2027.3</v>
      </c>
      <c r="Y9" s="5">
        <v>1796.9</v>
      </c>
      <c r="Z9" s="5">
        <v>1666.1</v>
      </c>
      <c r="AA9" s="5">
        <v>1506.1</v>
      </c>
    </row>
    <row r="10" spans="1:27" ht="30" x14ac:dyDescent="0.25">
      <c r="A10" s="7" t="s">
        <v>59</v>
      </c>
      <c r="B10" s="5">
        <v>2322.8363218364625</v>
      </c>
      <c r="C10" s="5">
        <v>2283.9262330136812</v>
      </c>
      <c r="D10" s="5">
        <v>2324.605260351685</v>
      </c>
      <c r="E10" s="5">
        <v>2287.3821987857964</v>
      </c>
      <c r="F10" s="5">
        <v>2303.3775916419881</v>
      </c>
      <c r="G10" s="5">
        <v>2304.060432059398</v>
      </c>
      <c r="H10" s="5">
        <v>2254.2730427179104</v>
      </c>
      <c r="I10" s="5">
        <v>2285.6639772981139</v>
      </c>
      <c r="J10" s="5">
        <v>2263.3916943054628</v>
      </c>
      <c r="K10" s="5">
        <v>2248.2659167503548</v>
      </c>
      <c r="L10" s="5">
        <v>2313.0095412941696</v>
      </c>
      <c r="M10" s="5">
        <v>2276.6064859541279</v>
      </c>
      <c r="N10" s="5">
        <v>2319.8833884625546</v>
      </c>
      <c r="O10" s="5">
        <v>2313.0090081661679</v>
      </c>
      <c r="P10" s="5">
        <v>2191.7453162736224</v>
      </c>
      <c r="Q10" s="5">
        <v>2219.7233715683333</v>
      </c>
      <c r="R10" s="5">
        <v>2231.775631648974</v>
      </c>
      <c r="S10" s="5">
        <v>2201.2633976200295</v>
      </c>
      <c r="T10" s="5">
        <v>2270.0616951876932</v>
      </c>
      <c r="U10" s="5">
        <v>2240.2806855840954</v>
      </c>
      <c r="V10" s="5">
        <v>2198.5895337838178</v>
      </c>
      <c r="W10" s="5">
        <v>2292.9444849632905</v>
      </c>
      <c r="X10" s="5">
        <v>2324.0562908102074</v>
      </c>
      <c r="Y10" s="5">
        <v>2329.7993531578954</v>
      </c>
      <c r="Z10" s="5">
        <v>2097.8322351842176</v>
      </c>
      <c r="AA10" s="5">
        <v>2114.6783758241359</v>
      </c>
    </row>
    <row r="11" spans="1:27" ht="60" x14ac:dyDescent="0.25">
      <c r="A11" s="7" t="s">
        <v>61</v>
      </c>
      <c r="B11" s="5">
        <v>-7.548803110986567</v>
      </c>
      <c r="C11" s="5">
        <v>-8.3607016405055141</v>
      </c>
      <c r="D11" s="5">
        <v>-4.8268061268501512</v>
      </c>
      <c r="E11" s="5">
        <v>-4.4894484619067061</v>
      </c>
      <c r="F11" s="5">
        <v>-1.3796201557634769</v>
      </c>
      <c r="G11" s="5">
        <v>-0.42954053330173059</v>
      </c>
      <c r="H11" s="5">
        <v>-2.4588705500449808</v>
      </c>
      <c r="I11" s="5">
        <v>-0.45884603701271409</v>
      </c>
      <c r="J11" s="5">
        <v>-0.7763055409467845</v>
      </c>
      <c r="K11" s="5">
        <v>-0.51920722343562875</v>
      </c>
      <c r="L11" s="5">
        <v>3.5969696463550762</v>
      </c>
      <c r="M11" s="5">
        <v>2.7349497271718386</v>
      </c>
      <c r="N11" s="5">
        <v>4.7115047827828773</v>
      </c>
      <c r="O11" s="5">
        <v>4.865077216582856</v>
      </c>
      <c r="P11" s="5">
        <v>-0.130077632660964</v>
      </c>
      <c r="Q11" s="5">
        <v>1.3526036056953274</v>
      </c>
      <c r="R11" s="5">
        <v>1.9494601274027732</v>
      </c>
      <c r="S11" s="5">
        <v>0.99855001697772594</v>
      </c>
      <c r="T11" s="5">
        <v>4.4090559832441079</v>
      </c>
      <c r="U11" s="5">
        <v>4.7790414659789304</v>
      </c>
      <c r="V11" s="5">
        <v>4.1442628858802486</v>
      </c>
      <c r="W11" s="5">
        <v>8.6291683230666241</v>
      </c>
      <c r="X11" s="5">
        <v>14.638005761860972</v>
      </c>
      <c r="Y11" s="5">
        <v>29.656594866597768</v>
      </c>
      <c r="Z11" s="5">
        <v>25.912744444164076</v>
      </c>
      <c r="AA11" s="5">
        <v>40.407567613314924</v>
      </c>
    </row>
    <row r="14" spans="1:27" ht="75" x14ac:dyDescent="0.25">
      <c r="A14" s="7" t="s">
        <v>60</v>
      </c>
      <c r="B14" s="7" t="s">
        <v>59</v>
      </c>
      <c r="C14" s="7" t="s">
        <v>61</v>
      </c>
      <c r="G14" s="1" t="s">
        <v>58</v>
      </c>
      <c r="H14" s="1" t="s">
        <v>24</v>
      </c>
      <c r="I14" s="1" t="s">
        <v>25</v>
      </c>
      <c r="J14" s="1" t="s">
        <v>34</v>
      </c>
      <c r="K14" s="4" t="s">
        <v>35</v>
      </c>
    </row>
    <row r="15" spans="1:27" ht="15" x14ac:dyDescent="0.25">
      <c r="A15" s="5">
        <v>2512.5</v>
      </c>
      <c r="B15" s="5">
        <v>2322.8363218364625</v>
      </c>
      <c r="C15" s="5">
        <v>-7.548803110986567</v>
      </c>
      <c r="G15">
        <v>2512.5</v>
      </c>
      <c r="H15" s="6">
        <v>7.3428543979858567</v>
      </c>
      <c r="I15" s="6">
        <v>12.039676504243467</v>
      </c>
      <c r="J15">
        <v>-3.9652081061456825</v>
      </c>
      <c r="K15">
        <v>1.7286752970492643</v>
      </c>
    </row>
    <row r="16" spans="1:27" ht="15" x14ac:dyDescent="0.25">
      <c r="A16" s="5">
        <v>2492.3000000000002</v>
      </c>
      <c r="B16" s="5">
        <v>2283.9262330136812</v>
      </c>
      <c r="C16" s="5">
        <v>-8.3607016405055141</v>
      </c>
      <c r="G16">
        <v>2492.3000000000002</v>
      </c>
      <c r="H16" s="6">
        <v>6.8581066184170609</v>
      </c>
      <c r="I16" s="6">
        <v>3.4476613868961725</v>
      </c>
      <c r="J16">
        <v>2.2787271617934679</v>
      </c>
      <c r="K16">
        <v>1.7333805951511465</v>
      </c>
    </row>
    <row r="17" spans="1:11" ht="15" x14ac:dyDescent="0.25">
      <c r="A17" s="5">
        <v>2442.5</v>
      </c>
      <c r="B17" s="5">
        <v>2324.605260351685</v>
      </c>
      <c r="C17" s="5">
        <v>-4.8268061268501512</v>
      </c>
      <c r="G17">
        <v>2442.5</v>
      </c>
      <c r="H17" s="6">
        <v>5.0315780180081395</v>
      </c>
      <c r="I17" s="6">
        <v>3.1245130966412265</v>
      </c>
      <c r="J17">
        <v>-1.8769805781863245</v>
      </c>
      <c r="K17">
        <v>-1.5015333508539288</v>
      </c>
    </row>
    <row r="18" spans="1:11" ht="15" x14ac:dyDescent="0.25">
      <c r="A18" s="5">
        <v>2394.9</v>
      </c>
      <c r="B18" s="5">
        <v>2287.3821987857964</v>
      </c>
      <c r="C18" s="5">
        <v>-4.4894484619067061</v>
      </c>
      <c r="G18">
        <v>2394.9</v>
      </c>
      <c r="H18" s="6">
        <v>5.6082534482644189</v>
      </c>
      <c r="I18" s="6">
        <v>7.3780750563952697</v>
      </c>
      <c r="J18">
        <v>0.86929323237628919</v>
      </c>
      <c r="K18">
        <v>-0.97426825183164256</v>
      </c>
    </row>
    <row r="19" spans="1:11" ht="15" x14ac:dyDescent="0.25">
      <c r="A19" s="5">
        <v>2335.6</v>
      </c>
      <c r="B19" s="5">
        <v>2303.3775916419881</v>
      </c>
      <c r="C19" s="5">
        <v>-1.3796201557634769</v>
      </c>
      <c r="G19">
        <v>2335.6</v>
      </c>
      <c r="H19" s="6">
        <v>3.2805512948279061</v>
      </c>
      <c r="I19" s="6">
        <v>2.4987522166247023</v>
      </c>
      <c r="J19">
        <v>-1.9273167819500261</v>
      </c>
      <c r="K19">
        <v>-1.5405033150580845</v>
      </c>
    </row>
    <row r="20" spans="1:11" ht="15" x14ac:dyDescent="0.25">
      <c r="A20" s="5">
        <v>2314</v>
      </c>
      <c r="B20" s="5">
        <v>2304.060432059398</v>
      </c>
      <c r="C20" s="5">
        <v>-0.42954053330173059</v>
      </c>
      <c r="G20">
        <v>2314</v>
      </c>
      <c r="H20" s="6">
        <v>1.5219754724749628</v>
      </c>
      <c r="I20" s="6">
        <v>6.4892512350094922</v>
      </c>
      <c r="J20">
        <v>9.5811301742809754</v>
      </c>
      <c r="K20">
        <v>3.2981696832488105</v>
      </c>
    </row>
    <row r="21" spans="1:11" ht="15" x14ac:dyDescent="0.25">
      <c r="A21" s="5">
        <v>2311.1</v>
      </c>
      <c r="B21" s="5">
        <v>2254.2730427179104</v>
      </c>
      <c r="C21" s="5">
        <v>-2.4588705500449808</v>
      </c>
      <c r="G21">
        <v>2311.1</v>
      </c>
      <c r="H21" s="6">
        <v>2.5255005975848466</v>
      </c>
      <c r="I21" s="6">
        <v>-9.9930427022905458E-2</v>
      </c>
      <c r="J21">
        <v>-3.1273255103942383</v>
      </c>
      <c r="K21">
        <v>-2.4587589998119537</v>
      </c>
    </row>
    <row r="22" spans="1:11" ht="15" x14ac:dyDescent="0.25">
      <c r="A22" s="5">
        <v>2296.1999999999998</v>
      </c>
      <c r="B22" s="5">
        <v>2285.6639772981139</v>
      </c>
      <c r="C22" s="5">
        <v>-0.45884603701271409</v>
      </c>
      <c r="G22">
        <v>2296.1999999999998</v>
      </c>
      <c r="H22" s="6">
        <v>2.8092926256238191</v>
      </c>
      <c r="I22" s="6">
        <v>-0.45249626418032768</v>
      </c>
      <c r="J22" s="6">
        <v>2.2181068633026553</v>
      </c>
      <c r="K22" s="6">
        <v>3.1985437410020428</v>
      </c>
    </row>
    <row r="23" spans="1:11" ht="15" x14ac:dyDescent="0.25">
      <c r="A23" s="5">
        <v>2281.1</v>
      </c>
      <c r="B23" s="5">
        <v>2263.3916943054628</v>
      </c>
      <c r="C23" s="5">
        <v>-0.7763055409467845</v>
      </c>
      <c r="G23">
        <v>2281.1</v>
      </c>
      <c r="H23" s="6">
        <v>4.4601483440024756</v>
      </c>
      <c r="I23" s="6">
        <v>13.047988741218655</v>
      </c>
      <c r="J23" s="6">
        <v>19.648543707150505</v>
      </c>
      <c r="K23" s="6">
        <v>1.7724570745127912</v>
      </c>
    </row>
    <row r="24" spans="1:11" ht="15" x14ac:dyDescent="0.25">
      <c r="A24" s="5">
        <v>2260</v>
      </c>
      <c r="B24" s="5">
        <v>2248.2659167503548</v>
      </c>
      <c r="C24" s="5">
        <v>-0.51920722343562875</v>
      </c>
      <c r="G24">
        <v>2260</v>
      </c>
      <c r="H24" s="6">
        <v>0.14830540385590593</v>
      </c>
      <c r="I24" s="6">
        <v>0.7761232085795845</v>
      </c>
      <c r="J24" s="6">
        <v>-9.6619959234811509E-2</v>
      </c>
      <c r="K24" s="6">
        <v>-1.7376512581049317</v>
      </c>
    </row>
    <row r="25" spans="1:11" ht="15" x14ac:dyDescent="0.25">
      <c r="A25" s="5">
        <v>2232.6999999999998</v>
      </c>
      <c r="B25" s="5">
        <v>2313.0095412941696</v>
      </c>
      <c r="C25" s="5">
        <v>3.5969696463550762</v>
      </c>
      <c r="G25">
        <v>2232.6999999999998</v>
      </c>
      <c r="H25" s="6">
        <v>0.9364680472056417</v>
      </c>
      <c r="I25" s="6">
        <v>-3.1434049884956003</v>
      </c>
      <c r="J25" s="6">
        <v>-3.6443155249794379</v>
      </c>
      <c r="K25" s="6">
        <v>1.9643307863432256</v>
      </c>
    </row>
    <row r="26" spans="1:11" ht="15" x14ac:dyDescent="0.25">
      <c r="A26" s="5">
        <v>2216</v>
      </c>
      <c r="B26" s="5">
        <v>2276.6064859541279</v>
      </c>
      <c r="C26" s="5">
        <v>2.7349497271718386</v>
      </c>
      <c r="G26">
        <v>2216</v>
      </c>
      <c r="H26" s="6">
        <v>-4.5104482860486312</v>
      </c>
      <c r="I26" s="6">
        <v>-3.3603974450483123</v>
      </c>
      <c r="J26">
        <v>1.9208774948014071</v>
      </c>
      <c r="K26">
        <v>1.4538105428135992</v>
      </c>
    </row>
    <row r="27" spans="1:11" ht="15" x14ac:dyDescent="0.25">
      <c r="A27" s="5">
        <v>2215.5</v>
      </c>
      <c r="B27" s="5">
        <v>2319.8833884625546</v>
      </c>
      <c r="C27" s="5">
        <v>4.7115047827828773</v>
      </c>
      <c r="G27">
        <v>2215.5</v>
      </c>
      <c r="H27" s="6">
        <v>-5.2195251751803724</v>
      </c>
      <c r="I27" s="6">
        <v>-6.1964409929642024</v>
      </c>
      <c r="J27">
        <v>-0.87555496767508134</v>
      </c>
      <c r="K27">
        <v>0.87259304050152542</v>
      </c>
    </row>
    <row r="28" spans="1:11" ht="15" x14ac:dyDescent="0.25">
      <c r="A28" s="5">
        <v>2205.6999999999998</v>
      </c>
      <c r="B28" s="5">
        <v>2313.0090081661679</v>
      </c>
      <c r="C28" s="5">
        <v>4.865077216582856</v>
      </c>
      <c r="G28">
        <v>2205.6999999999998</v>
      </c>
      <c r="H28" s="6">
        <v>-5.1022770408010452</v>
      </c>
      <c r="I28" s="6">
        <v>-6.1079659798197863</v>
      </c>
      <c r="J28">
        <v>11.326914662473724</v>
      </c>
      <c r="K28">
        <v>5.2310587455571156</v>
      </c>
    </row>
    <row r="29" spans="1:11" ht="15" x14ac:dyDescent="0.25">
      <c r="A29" s="5">
        <v>2194.6</v>
      </c>
      <c r="B29" s="5">
        <v>2191.7453162736224</v>
      </c>
      <c r="C29" s="5">
        <v>-0.130077632660964</v>
      </c>
      <c r="G29">
        <v>2194.6</v>
      </c>
      <c r="H29" s="6">
        <v>-1.318779948930648</v>
      </c>
      <c r="I29" s="6">
        <v>-3.2716965318995839</v>
      </c>
      <c r="J29">
        <v>-9.5304970847886992</v>
      </c>
      <c r="K29">
        <v>-5.5312061469248572</v>
      </c>
    </row>
    <row r="30" spans="1:11" ht="15" x14ac:dyDescent="0.25">
      <c r="A30" s="5">
        <v>2190.1</v>
      </c>
      <c r="B30" s="5">
        <v>2219.7233715683333</v>
      </c>
      <c r="C30" s="5">
        <v>1.3526036056953274</v>
      </c>
      <c r="G30">
        <v>2190.1</v>
      </c>
      <c r="H30" s="6">
        <v>-4.526796959252481</v>
      </c>
      <c r="I30" s="6">
        <v>-8.7625581119104563</v>
      </c>
      <c r="J30">
        <v>1.1436983823346334</v>
      </c>
      <c r="K30">
        <v>-5.8806572756881854</v>
      </c>
    </row>
    <row r="31" spans="1:11" ht="15" x14ac:dyDescent="0.25">
      <c r="A31" s="5">
        <v>2189.1</v>
      </c>
      <c r="B31" s="5">
        <v>2231.775631648974</v>
      </c>
      <c r="C31" s="5">
        <v>1.9494601274027732</v>
      </c>
      <c r="G31">
        <v>2189.1</v>
      </c>
      <c r="H31" s="6">
        <v>-3.5318436022722777</v>
      </c>
      <c r="I31" s="6">
        <v>-2.6910628841650532</v>
      </c>
      <c r="J31">
        <v>0.5438646607180585</v>
      </c>
      <c r="K31">
        <v>1.7290483344697551</v>
      </c>
    </row>
    <row r="32" spans="1:11" ht="15" x14ac:dyDescent="0.25">
      <c r="A32" s="5">
        <v>2179.5</v>
      </c>
      <c r="B32" s="5">
        <v>2201.2633976200295</v>
      </c>
      <c r="C32" s="5">
        <v>0.99855001697772594</v>
      </c>
      <c r="G32">
        <v>2179.5</v>
      </c>
      <c r="H32" s="6">
        <v>1.7782938318080181</v>
      </c>
      <c r="I32" s="6">
        <v>-4.6550373175881115</v>
      </c>
      <c r="J32">
        <v>11.871300675168474</v>
      </c>
      <c r="K32">
        <v>-3.9543435070634709</v>
      </c>
    </row>
    <row r="33" spans="1:11" ht="15" x14ac:dyDescent="0.25">
      <c r="A33" s="5">
        <v>2174.1999999999998</v>
      </c>
      <c r="B33" s="5">
        <v>2270.0616951876932</v>
      </c>
      <c r="C33" s="5">
        <v>4.4090559832441079</v>
      </c>
      <c r="G33">
        <v>2174.1999999999998</v>
      </c>
      <c r="H33" s="6">
        <v>-5.5702496114079967</v>
      </c>
      <c r="I33" s="6">
        <v>-9.8148796210088136</v>
      </c>
      <c r="J33">
        <v>8.0187506522949606E-2</v>
      </c>
      <c r="K33">
        <v>-1.5979163254899269</v>
      </c>
    </row>
    <row r="34" spans="1:11" ht="15" x14ac:dyDescent="0.25">
      <c r="A34" s="5">
        <v>2138.1</v>
      </c>
      <c r="B34" s="5">
        <v>2240.2806855840954</v>
      </c>
      <c r="C34" s="5">
        <v>4.7790414659789304</v>
      </c>
      <c r="G34">
        <v>2138.1</v>
      </c>
      <c r="H34" s="6">
        <v>-6.2058168661625164</v>
      </c>
      <c r="I34" s="6">
        <v>-6.6034030434719542</v>
      </c>
      <c r="J34">
        <v>-9.7093254543193659</v>
      </c>
      <c r="K34">
        <v>2.6529637501554362</v>
      </c>
    </row>
    <row r="35" spans="1:11" ht="15" x14ac:dyDescent="0.25">
      <c r="A35" s="5">
        <v>2111.1</v>
      </c>
      <c r="B35" s="5">
        <v>2198.5895337838178</v>
      </c>
      <c r="C35" s="5">
        <v>4.1442628858802486</v>
      </c>
      <c r="G35">
        <v>2111.1</v>
      </c>
      <c r="H35" s="6">
        <v>-2.4208941540939137</v>
      </c>
      <c r="I35" s="6">
        <v>-12.479395293890482</v>
      </c>
      <c r="J35">
        <v>-14.891741908485296</v>
      </c>
      <c r="K35">
        <v>-9.3680155528425466</v>
      </c>
    </row>
    <row r="36" spans="1:11" ht="15" x14ac:dyDescent="0.25">
      <c r="A36" s="5">
        <v>2110.8000000000002</v>
      </c>
      <c r="B36" s="5">
        <v>2292.9444849632905</v>
      </c>
      <c r="C36" s="5">
        <v>8.6291683230666241</v>
      </c>
      <c r="G36">
        <v>2110.8000000000002</v>
      </c>
      <c r="H36" s="6">
        <v>-5.2261681060232394</v>
      </c>
      <c r="I36" s="6">
        <v>-8.7310574897669557</v>
      </c>
      <c r="J36">
        <v>4.6320386312365516</v>
      </c>
      <c r="K36">
        <v>-1.0768714484989659</v>
      </c>
    </row>
    <row r="37" spans="1:11" ht="15" x14ac:dyDescent="0.25">
      <c r="A37" s="5">
        <v>2027.3</v>
      </c>
      <c r="B37" s="5">
        <v>2324.0562908102074</v>
      </c>
      <c r="C37" s="5">
        <v>14.638005761860972</v>
      </c>
      <c r="G37">
        <v>2027.3</v>
      </c>
      <c r="H37" s="6">
        <v>-14.997886638512847</v>
      </c>
      <c r="I37" s="6">
        <v>-22.555905078577503</v>
      </c>
      <c r="J37">
        <v>0.77929799076841566</v>
      </c>
      <c r="K37">
        <v>-6.1832948890228412</v>
      </c>
    </row>
    <row r="38" spans="1:11" ht="15" x14ac:dyDescent="0.25">
      <c r="A38" s="5">
        <v>1796.9</v>
      </c>
      <c r="B38" s="5">
        <v>2329.7993531578954</v>
      </c>
      <c r="C38" s="5">
        <v>29.656594866597768</v>
      </c>
      <c r="G38">
        <v>1796.9</v>
      </c>
      <c r="H38" s="6">
        <v>-35.986271310180854</v>
      </c>
      <c r="I38" s="6">
        <v>-30.365419379285129</v>
      </c>
      <c r="J38">
        <v>-5.8391298152812094</v>
      </c>
      <c r="K38">
        <v>2.0062504452666303</v>
      </c>
    </row>
    <row r="39" spans="1:11" ht="15" x14ac:dyDescent="0.25">
      <c r="A39" s="5">
        <v>1666.1</v>
      </c>
      <c r="B39" s="5">
        <v>2097.8322351842176</v>
      </c>
      <c r="C39" s="5">
        <v>25.912744444164076</v>
      </c>
      <c r="G39">
        <v>1666.1</v>
      </c>
      <c r="H39" s="6">
        <v>-17.229804106163481</v>
      </c>
      <c r="I39" s="6">
        <v>-48.575415177966683</v>
      </c>
      <c r="J39">
        <v>-42.46151732515461</v>
      </c>
      <c r="K39">
        <v>-1.4807586625773033</v>
      </c>
    </row>
    <row r="40" spans="1:11" ht="15" x14ac:dyDescent="0.25">
      <c r="A40" s="5">
        <v>1506.1</v>
      </c>
      <c r="B40" s="5">
        <v>2114.6783758241359</v>
      </c>
      <c r="C40" s="5">
        <v>40.407567613314924</v>
      </c>
      <c r="G40">
        <v>1506.1</v>
      </c>
      <c r="H40" s="6">
        <v>-36.180400430303898</v>
      </c>
      <c r="I40" s="6">
        <v>-47.249494742658214</v>
      </c>
      <c r="J40">
        <v>7.1290707941431926</v>
      </c>
      <c r="K40">
        <v>-6.5505805633667231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AMSOIL2010Engines</vt:lpstr>
      <vt:lpstr>Sheet2</vt:lpstr>
      <vt:lpstr>Sheet3</vt:lpstr>
      <vt:lpstr>T error and HP error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Jerry Barone</cp:lastModifiedBy>
  <dcterms:created xsi:type="dcterms:W3CDTF">2014-12-14T14:18:42Z</dcterms:created>
  <dcterms:modified xsi:type="dcterms:W3CDTF">2022-08-02T14:37:14Z</dcterms:modified>
</cp:coreProperties>
</file>